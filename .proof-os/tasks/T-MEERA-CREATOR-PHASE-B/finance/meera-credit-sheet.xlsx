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itCosts" sheetId="2" state="visible" r:id="rId2"/>
    <sheet xmlns:r="http://schemas.openxmlformats.org/officeDocument/2006/relationships" name="Personas" sheetId="3" state="visible" r:id="rId3"/>
    <sheet xmlns:r="http://schemas.openxmlformats.org/officeDocument/2006/relationships" name="OptionA" sheetId="4" state="visible" r:id="rId4"/>
    <sheet xmlns:r="http://schemas.openxmlformats.org/officeDocument/2006/relationships" name="OptionB" sheetId="5" state="visible" r:id="rId5"/>
    <sheet xmlns:r="http://schemas.openxmlformats.org/officeDocument/2006/relationships" name="OptionC" sheetId="6" state="visible" r:id="rId6"/>
    <sheet xmlns:r="http://schemas.openxmlformats.org/officeDocument/2006/relationships"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&quot;$&quot;0.00"/>
    <numFmt numFmtId="165" formatCode="&quot;$&quot;0.000"/>
    <numFmt numFmtId="166" formatCode="&quot;Rs.&quot;0"/>
    <numFmt numFmtId="167" formatCode="0.000000"/>
    <numFmt numFmtId="168" formatCode="&quot;$&quot;0.0000"/>
    <numFmt numFmtId="169" formatCode="0.0%"/>
    <numFmt numFmtId="170" formatCode="#,##0.00&quot; INR&quot;"/>
    <numFmt numFmtId="171" formatCode="&quot;$&quot;0.0000000"/>
    <numFmt numFmtId="172" formatCode="&quot;$&quot;#,##0.0000"/>
    <numFmt numFmtId="173" formatCode="&quot;$&quot;0.000000"/>
    <numFmt numFmtId="174" formatCode="0.0000&quot; INR&quot;"/>
    <numFmt numFmtId="175" formatCode="0.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1"/>
    </font>
    <font>
      <b val="1"/>
    </font>
    <font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0" fontId="4" fillId="2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2" fontId="4" fillId="0" borderId="0" pivotButton="0" quotePrefix="0" xfId="0"/>
    <xf numFmtId="170" fontId="4" fillId="0" borderId="0" pivotButton="0" quotePrefix="0" xfId="0"/>
    <xf numFmtId="0" fontId="4" fillId="0" borderId="0" pivotButton="0" quotePrefix="0" xfId="0"/>
    <xf numFmtId="173" fontId="0" fillId="0" borderId="0" pivotButton="0" quotePrefix="0" xfId="0"/>
    <xf numFmtId="174" fontId="4" fillId="0" borderId="0" pivotButton="0" quotePrefix="0" xfId="0"/>
    <xf numFmtId="175" fontId="0" fillId="0" borderId="0" pivotButton="0" quotePrefix="0" xfId="0"/>
    <xf numFmtId="169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70" customWidth="1" min="3" max="3"/>
  </cols>
  <sheetData>
    <row r="1">
      <c r="A1" s="1" t="inlineStr">
        <is>
          <t>Meera for Creators — Credit Sheet: Assumptions</t>
        </is>
      </c>
    </row>
    <row r="2">
      <c r="A2" s="2" t="inlineStr">
        <is>
          <t>Every number below is editable. Every other sheet computes off these cells — nothing downstream is a pasted number.</t>
        </is>
      </c>
    </row>
    <row r="3">
      <c r="A3" s="3" t="inlineStr">
        <is>
          <t>FX</t>
        </is>
      </c>
    </row>
    <row r="4">
      <c r="A4" t="inlineStr">
        <is>
          <t>USD to INR</t>
        </is>
      </c>
      <c r="B4" t="n">
        <v>84</v>
      </c>
      <c r="C4" t="inlineStr">
        <is>
          <t>Per instruction, used for every INR conversion on this sheet. Note: influora-ai/app/costs/pricing.py bakes Rs.83/$1 as its own internal SARVAM_USD_PER_INR constant for the TTS $ rate (row 19) — that is a separate, code-level fact reproduced as-is; it is NOT swapped for 84, only the resulting USD amount is converted to INR at 84 like everything else.</t>
        </is>
      </c>
    </row>
    <row r="6">
      <c r="A6" s="3" t="inlineStr">
        <is>
          <t>Anthropic model pricing — source: influora-ai/app/costs/pricing.py PRICING_TABLE (verified 2026-07-11/12)</t>
        </is>
      </c>
    </row>
    <row r="7">
      <c r="A7" t="inlineStr">
        <is>
          <t>Sonnet model id (CLAUDE_MODEL default, used for the live creator chat turn)</t>
        </is>
      </c>
      <c r="B7" t="inlineStr">
        <is>
          <t>claude-sonnet-4-5-20250929</t>
        </is>
      </c>
    </row>
    <row r="8">
      <c r="A8" t="inlineStr">
        <is>
          <t>Sonnet input $ / MTok</t>
        </is>
      </c>
      <c r="B8" s="4" t="n">
        <v>3</v>
      </c>
    </row>
    <row r="9">
      <c r="A9" t="inlineStr">
        <is>
          <t>Sonnet output $ / MTok</t>
        </is>
      </c>
      <c r="B9" s="4" t="n">
        <v>15</v>
      </c>
    </row>
    <row r="10">
      <c r="A10" t="inlineStr">
        <is>
          <t>Sonnet cache READ multiplier (x input rate)</t>
        </is>
      </c>
      <c r="B10" t="n">
        <v>0.1</v>
      </c>
    </row>
    <row r="11">
      <c r="A11" t="inlineStr">
        <is>
          <t>Sonnet cache WRITE multiplier (x input rate)</t>
        </is>
      </c>
      <c r="B11" t="n">
        <v>1.25</v>
      </c>
    </row>
    <row r="12">
      <c r="A12" t="inlineStr">
        <is>
          <t>Haiku model id (TRENDSPARK_MODEL; BRIEF_EXTRACT_MODEL defaults to this per SPEC.md 7.5)</t>
        </is>
      </c>
      <c r="B12" t="inlineStr">
        <is>
          <t>claude-haiku-4-5-20251001</t>
        </is>
      </c>
    </row>
    <row r="13">
      <c r="A13" t="inlineStr">
        <is>
          <t>Haiku input $ / MTok</t>
        </is>
      </c>
      <c r="B13" s="4" t="n">
        <v>1</v>
      </c>
    </row>
    <row r="14">
      <c r="A14" t="inlineStr">
        <is>
          <t>Haiku output $ / MTok</t>
        </is>
      </c>
      <c r="B14" s="4" t="n">
        <v>5</v>
      </c>
    </row>
    <row r="16">
      <c r="A16" s="3" t="inlineStr">
        <is>
          <t>Sarvam voice pricing — source: pricing.py</t>
        </is>
      </c>
    </row>
    <row r="17">
      <c r="A17" t="inlineStr">
        <is>
          <t>STT flat $ / call (SARVAM_FLAT_COST_PER_CALL)</t>
        </is>
      </c>
      <c r="B17" s="5" t="n">
        <v>0.006</v>
      </c>
    </row>
    <row r="18">
      <c r="A18" t="inlineStr">
        <is>
          <t>TTS INR per 10,000 chars (SARVAM_TTS_INR_PER_10K_CHARS)</t>
        </is>
      </c>
      <c r="B18" s="6" t="n">
        <v>30</v>
      </c>
    </row>
    <row r="19">
      <c r="A19" t="inlineStr">
        <is>
          <t>TTS internal USD/INR constant used inside pricing.py (SARVAM_USD_PER_INR = 1/83)</t>
        </is>
      </c>
      <c r="B19" s="7">
        <f>1/83</f>
        <v/>
      </c>
    </row>
    <row r="20">
      <c r="A20" t="inlineStr">
        <is>
          <t>TTS USD per 10,000 chars (derived — matches pricing.py SARVAM_TTS_USD_PER_10K_CHARS)</t>
        </is>
      </c>
      <c r="B20" s="8">
        <f>B18*B19</f>
        <v/>
      </c>
    </row>
    <row r="22">
      <c r="A22" s="3" t="inlineStr">
        <is>
          <t>Chat turn assumptions (Sonnet, one creator chat turn)</t>
        </is>
      </c>
    </row>
    <row r="23">
      <c r="A23" t="inlineStr">
        <is>
          <t>Input tokens per turn</t>
        </is>
      </c>
      <c r="B23" t="n">
        <v>2500</v>
      </c>
    </row>
    <row r="24">
      <c r="A24" t="inlineStr">
        <is>
          <t>Cacheable fraction of input tokens (Block A/B prefix)</t>
        </is>
      </c>
      <c r="B24" s="9" t="n">
        <v>0.9</v>
      </c>
    </row>
    <row r="25">
      <c r="A25" t="inlineStr">
        <is>
          <t>Output tokens per turn</t>
        </is>
      </c>
      <c r="B25" t="n">
        <v>200</v>
      </c>
    </row>
    <row r="26">
      <c r="A26" t="inlineStr">
        <is>
          <t>Cache hit rate on Block A/B (baseline)</t>
        </is>
      </c>
      <c r="B26" s="9" t="n">
        <v>0.7</v>
      </c>
    </row>
    <row r="27">
      <c r="A27" t="inlineStr">
        <is>
          <t>Probability a turn includes one tool-call round trip</t>
        </is>
      </c>
      <c r="B27" s="9" t="n">
        <v>0.4</v>
      </c>
    </row>
    <row r="28">
      <c r="A28" t="inlineStr">
        <is>
          <t>Extra input tokens on a tool round trip (uncached tool_result)</t>
        </is>
      </c>
      <c r="B28" t="n">
        <v>300</v>
      </c>
    </row>
    <row r="29">
      <c r="A29" t="inlineStr">
        <is>
          <t>Extra output tokens on a tool round trip (final reply after tool use)</t>
        </is>
      </c>
      <c r="B29" t="n">
        <v>100</v>
      </c>
    </row>
    <row r="31">
      <c r="A31" s="3" t="inlineStr">
        <is>
          <t>Brief extraction assumptions (Haiku — SPEC.md §7.5, BRIEF_EXTRACT_MODEL)</t>
        </is>
      </c>
    </row>
    <row r="32">
      <c r="A32" t="inlineStr">
        <is>
          <t>Input tokens per extraction</t>
        </is>
      </c>
      <c r="B32" t="n">
        <v>1500</v>
      </c>
    </row>
    <row r="33">
      <c r="A33" t="inlineStr">
        <is>
          <t>Output tokens per extraction</t>
        </is>
      </c>
      <c r="B33" t="n">
        <v>400</v>
      </c>
    </row>
    <row r="35">
      <c r="A35" s="3" t="inlineStr">
        <is>
          <t>Voice turn assumptions</t>
        </is>
      </c>
    </row>
    <row r="36">
      <c r="A36" t="inlineStr">
        <is>
          <t>TTS characters per voice turn</t>
        </is>
      </c>
      <c r="B36" t="n">
        <v>300</v>
      </c>
    </row>
    <row r="37">
      <c r="A37" s="2" t="inlineStr">
        <is>
          <t>Voice turns are ADDITIVE on top of one of the persona's chat turns (Sarvam STT+TTS layered onto a turn that already happened), not separate chat completions — matches the "voice is additive" design note in influora-ai/app/config.py.</t>
        </is>
      </c>
    </row>
    <row r="39">
      <c r="A39" s="3" t="inlineStr">
        <is>
          <t>Weekly digest assumptions (Haiku — sized to the same order of magnitude as brief extraction; not yet built)</t>
        </is>
      </c>
    </row>
    <row r="40">
      <c r="A40" t="inlineStr">
        <is>
          <t>Input tokens per digest</t>
        </is>
      </c>
      <c r="B40" t="n">
        <v>1200</v>
      </c>
    </row>
    <row r="41">
      <c r="A41" t="inlineStr">
        <is>
          <t>Output tokens per digest</t>
        </is>
      </c>
      <c r="B41" t="n">
        <v>300</v>
      </c>
    </row>
    <row r="42">
      <c r="A42" t="inlineStr">
        <is>
          <t>Digests per month (52 weeks / 12 months)</t>
        </is>
      </c>
      <c r="B42" s="10">
        <f>52/12</f>
        <v/>
      </c>
    </row>
    <row r="44">
      <c r="A44" s="3" t="inlineStr">
        <is>
          <t>Platform + deal economics</t>
        </is>
      </c>
    </row>
    <row r="45">
      <c r="A45" t="inlineStr">
        <is>
          <t>Platform fee percent (application.yml PLATFORM_FEE_PERCENT default)</t>
        </is>
      </c>
      <c r="B45" s="9" t="n">
        <v>0.15</v>
      </c>
    </row>
    <row r="46">
      <c r="A46" t="inlineStr">
        <is>
          <t>Typical deal size (INR)</t>
        </is>
      </c>
      <c r="B46" s="11" t="n">
        <v>5000</v>
      </c>
    </row>
    <row r="48">
      <c r="A48" s="3" t="inlineStr">
        <is>
          <t>Per-creator AI spend cap — source: influora-ai/app/config.py ai_creator_monthly_cap_usd</t>
        </is>
      </c>
    </row>
    <row r="49">
      <c r="A49" t="inlineStr">
        <is>
          <t>Current cap (USD / creator / month)</t>
        </is>
      </c>
      <c r="B49" s="4" t="n">
        <v>0.75</v>
      </c>
    </row>
    <row r="50">
      <c r="A50" t="inlineStr">
        <is>
          <t>Sensitivity: raised cap (USD / creator / month)</t>
        </is>
      </c>
      <c r="B50" s="4" t="n">
        <v>2</v>
      </c>
    </row>
    <row r="52">
      <c r="A52" s="3" t="inlineStr">
        <is>
          <t>GST</t>
        </is>
      </c>
    </row>
    <row r="53">
      <c r="A53" t="inlineStr">
        <is>
          <t>GST rate on a subscription charged to an Indian creator</t>
        </is>
      </c>
      <c r="B53" s="9" t="n">
        <v>0.18</v>
      </c>
    </row>
    <row r="55">
      <c r="A55" s="3" t="inlineStr">
        <is>
          <t>Usage personas (per creator per month)</t>
        </is>
      </c>
    </row>
    <row r="56">
      <c r="A56" s="12" t="inlineStr">
        <is>
          <t>Persona</t>
        </is>
      </c>
      <c r="B56" s="12" t="inlineStr">
        <is>
          <t>Turns</t>
        </is>
      </c>
      <c r="C56" s="12" t="inlineStr">
        <is>
          <t>Briefs</t>
        </is>
      </c>
      <c r="D56" s="12" t="inlineStr">
        <is>
          <t>Voice</t>
        </is>
      </c>
    </row>
    <row r="57">
      <c r="A57" t="inlineStr">
        <is>
          <t>Light</t>
        </is>
      </c>
      <c r="B57" t="n">
        <v>20</v>
      </c>
      <c r="C57" t="n">
        <v>2</v>
      </c>
      <c r="D57" t="n">
        <v>0</v>
      </c>
    </row>
    <row r="58">
      <c r="A58" t="inlineStr">
        <is>
          <t>Typical</t>
        </is>
      </c>
      <c r="B58" t="n">
        <v>60</v>
      </c>
      <c r="C58" t="n">
        <v>6</v>
      </c>
      <c r="D58" t="n">
        <v>10</v>
      </c>
    </row>
    <row r="59">
      <c r="A59" t="inlineStr">
        <is>
          <t>Heavy</t>
        </is>
      </c>
      <c r="B59" t="n">
        <v>150</v>
      </c>
      <c r="C59" t="n">
        <v>15</v>
      </c>
      <c r="D59" t="n">
        <v>40</v>
      </c>
    </row>
    <row r="60">
      <c r="A60" t="inlineStr">
        <is>
          <t>Manager seat (5 creators x Typical)</t>
        </is>
      </c>
      <c r="B60">
        <f>B58*5</f>
        <v/>
      </c>
      <c r="C60">
        <f>C58*5</f>
        <v/>
      </c>
      <c r="D60">
        <f>D58*5</f>
        <v/>
      </c>
    </row>
    <row r="62">
      <c r="A62" s="3" t="inlineStr">
        <is>
          <t>Option B — subscription credit definitions (1 credit = 1 chat turn)</t>
        </is>
      </c>
    </row>
    <row r="63">
      <c r="A63" t="inlineStr">
        <is>
          <t>Credits per chat turn</t>
        </is>
      </c>
      <c r="B63" t="n">
        <v>1</v>
      </c>
    </row>
    <row r="64">
      <c r="A64" t="inlineStr">
        <is>
          <t>Credits per brief extraction</t>
        </is>
      </c>
      <c r="B64" t="n">
        <v>3</v>
      </c>
    </row>
    <row r="65">
      <c r="A65" t="inlineStr">
        <is>
          <t>Credits per voice turn</t>
        </is>
      </c>
      <c r="B65" t="n">
        <v>2</v>
      </c>
    </row>
    <row r="66">
      <c r="A66" t="inlineStr">
        <is>
          <t>Credits per weekly digest (free)</t>
        </is>
      </c>
      <c r="B66" t="n">
        <v>0</v>
      </c>
    </row>
    <row r="68">
      <c r="A68" s="3" t="inlineStr">
        <is>
          <t>Option B — subscription tier pricing (editable)</t>
        </is>
      </c>
    </row>
    <row r="69">
      <c r="A69" s="12" t="inlineStr">
        <is>
          <t>Tier</t>
        </is>
      </c>
      <c r="B69" s="12" t="inlineStr">
        <is>
          <t>Price INR/month</t>
        </is>
      </c>
      <c r="C69" s="12" t="inlineStr">
        <is>
          <t>Included credits</t>
        </is>
      </c>
    </row>
    <row r="70">
      <c r="A70" t="inlineStr">
        <is>
          <t>Starter</t>
        </is>
      </c>
      <c r="B70" s="11" t="n">
        <v>299</v>
      </c>
      <c r="C70" t="n">
        <v>100</v>
      </c>
    </row>
    <row r="71">
      <c r="A71" t="inlineStr">
        <is>
          <t>Pro</t>
        </is>
      </c>
      <c r="B71" s="11" t="n">
        <v>599</v>
      </c>
      <c r="C71" t="n">
        <v>300</v>
      </c>
    </row>
    <row r="72">
      <c r="A72" t="inlineStr">
        <is>
          <t>Max</t>
        </is>
      </c>
      <c r="B72" s="11" t="n">
        <v>999</v>
      </c>
      <c r="C72" t="n">
        <v>600</v>
      </c>
    </row>
    <row r="74">
      <c r="A74" t="inlineStr">
        <is>
          <t>Top-up pack size (credits)</t>
        </is>
      </c>
      <c r="B74" t="n">
        <v>100</v>
      </c>
    </row>
    <row r="75">
      <c r="A75" t="inlineStr">
        <is>
          <t>Top-up pack price (INR)</t>
        </is>
      </c>
      <c r="B75" s="11" t="n">
        <v>249</v>
      </c>
    </row>
    <row r="77">
      <c r="A77" s="3" t="inlineStr">
        <is>
          <t>Option C — hybrid</t>
        </is>
      </c>
    </row>
    <row r="78">
      <c r="A78" t="inlineStr">
        <is>
          <t>Included FREE credits / creator / month</t>
        </is>
      </c>
      <c r="B78" t="n">
        <v>40</v>
      </c>
    </row>
    <row r="79">
      <c r="A79" t="inlineStr">
        <is>
          <t>Manager seat price (INR/month, up to 5 creators)</t>
        </is>
      </c>
      <c r="B79" s="11" t="n">
        <v>1999</v>
      </c>
    </row>
    <row r="81">
      <c r="A81" s="3" t="inlineStr">
        <is>
          <t>Sensitivity toggles</t>
        </is>
      </c>
    </row>
    <row r="82">
      <c r="A82" t="inlineStr">
        <is>
          <t>Reduced cache hit rate (vs baseline 70%)</t>
        </is>
      </c>
      <c r="B82" s="9" t="n">
        <v>0.3</v>
      </c>
    </row>
    <row r="83">
      <c r="A83" t="inlineStr">
        <is>
          <t>Alt extraction model = Sonnet — input $/MTok</t>
        </is>
      </c>
      <c r="B83">
        <f>B8</f>
        <v/>
      </c>
    </row>
    <row r="84">
      <c r="A84" t="inlineStr">
        <is>
          <t>Alt extraction model = Sonnet — output $/MTok</t>
        </is>
      </c>
      <c r="B84">
        <f>B9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Unit Cost Model</t>
        </is>
      </c>
    </row>
    <row r="3">
      <c r="A3" s="3" t="inlineStr">
        <is>
          <t>Effective per-token rates ($/token)</t>
        </is>
      </c>
    </row>
    <row r="4">
      <c r="A4" s="12" t="inlineStr">
        <is>
          <t>Model</t>
        </is>
      </c>
      <c r="B4" s="12" t="inlineStr">
        <is>
          <t>Input</t>
        </is>
      </c>
      <c r="C4" s="12" t="inlineStr">
        <is>
          <t>Output</t>
        </is>
      </c>
      <c r="D4" s="12" t="inlineStr">
        <is>
          <t>Cache read</t>
        </is>
      </c>
      <c r="E4" s="12" t="inlineStr">
        <is>
          <t>Cache write</t>
        </is>
      </c>
    </row>
    <row r="5">
      <c r="A5" t="inlineStr">
        <is>
          <t>Sonnet</t>
        </is>
      </c>
      <c r="B5" s="13">
        <f>Assumptions!B8/1000000</f>
        <v/>
      </c>
      <c r="C5" s="13">
        <f>Assumptions!B9/1000000</f>
        <v/>
      </c>
      <c r="D5" s="13">
        <f>B5*Assumptions!B10</f>
        <v/>
      </c>
      <c r="E5" s="13">
        <f>B5*Assumptions!B11</f>
        <v/>
      </c>
    </row>
    <row r="6">
      <c r="A6" t="inlineStr">
        <is>
          <t>Haiku</t>
        </is>
      </c>
      <c r="B6" s="13">
        <f>Assumptions!B13/1000000</f>
        <v/>
      </c>
      <c r="C6" s="13">
        <f>Assumptions!B14/1000000</f>
        <v/>
      </c>
    </row>
    <row r="8">
      <c r="A8" s="3" t="inlineStr">
        <is>
          <t>Cost per creator chat turn (Sonnet)</t>
        </is>
      </c>
    </row>
    <row r="9">
      <c r="A9" t="inlineStr">
        <is>
          <t>Cacheable input tokens</t>
        </is>
      </c>
      <c r="B9">
        <f>Assumptions!B23*Assumptions!B24</f>
        <v/>
      </c>
    </row>
    <row r="10">
      <c r="A10" t="inlineStr">
        <is>
          <t>Fresh (uncached) input tokens</t>
        </is>
      </c>
      <c r="B10">
        <f>Assumptions!B23*(1-Assumptions!B24)</f>
        <v/>
      </c>
    </row>
    <row r="11">
      <c r="A11" t="inlineStr">
        <is>
          <t>Blended cache rate $/token (hit-rate weighted)</t>
        </is>
      </c>
      <c r="B11">
        <f>Assumptions!B26*D5+(1-Assumptions!B26)*E5</f>
        <v/>
      </c>
    </row>
    <row r="12">
      <c r="A12" t="inlineStr">
        <is>
          <t>Cacheable-tokens cost $</t>
        </is>
      </c>
      <c r="B12" s="14">
        <f>B9*B11</f>
        <v/>
      </c>
    </row>
    <row r="13">
      <c r="A13" t="inlineStr">
        <is>
          <t>Fresh-input cost $</t>
        </is>
      </c>
      <c r="B13" s="14">
        <f>B10*B5</f>
        <v/>
      </c>
    </row>
    <row r="14">
      <c r="A14" t="inlineStr">
        <is>
          <t>Output cost $</t>
        </is>
      </c>
      <c r="B14" s="14">
        <f>Assumptions!B25*C5</f>
        <v/>
      </c>
    </row>
    <row r="15">
      <c r="A15" t="inlineStr">
        <is>
          <t>Base turn cost $ (no tool call)</t>
        </is>
      </c>
      <c r="B15" s="14">
        <f>B12+B13+B14</f>
        <v/>
      </c>
    </row>
    <row r="16">
      <c r="A16" t="inlineStr">
        <is>
          <t>Tool round-trip extra cost $ (if it happens)</t>
        </is>
      </c>
      <c r="B16" s="14">
        <f>Assumptions!B28*B5+Assumptions!B29*C5</f>
        <v/>
      </c>
    </row>
    <row r="17">
      <c r="A17" t="inlineStr">
        <is>
          <t>Expected tool-call cost $ (probability-weighted)</t>
        </is>
      </c>
      <c r="B17" s="14">
        <f>Assumptions!B27*B16</f>
        <v/>
      </c>
    </row>
    <row r="18">
      <c r="A18" t="inlineStr">
        <is>
          <t>Cost per chat turn $ (expected)</t>
        </is>
      </c>
      <c r="B18" s="15">
        <f>B15+B17</f>
        <v/>
      </c>
    </row>
    <row r="19">
      <c r="A19" t="inlineStr">
        <is>
          <t>Cost per chat turn, INR</t>
        </is>
      </c>
      <c r="B19" s="16">
        <f>B18*Assumptions!B4</f>
        <v/>
      </c>
    </row>
    <row r="21">
      <c r="A21" s="3" t="inlineStr">
        <is>
          <t>Cost per brief extraction (Haiku)</t>
        </is>
      </c>
    </row>
    <row r="22">
      <c r="A22" t="inlineStr">
        <is>
          <t>Cost $</t>
        </is>
      </c>
      <c r="B22" s="15">
        <f>Assumptions!B32*B6+Assumptions!B33*C6</f>
        <v/>
      </c>
    </row>
    <row r="23">
      <c r="A23" t="inlineStr">
        <is>
          <t>Cost, INR</t>
        </is>
      </c>
      <c r="B23" s="16">
        <f>B22*Assumptions!B4</f>
        <v/>
      </c>
    </row>
    <row r="25">
      <c r="A25" s="3" t="inlineStr">
        <is>
          <t>Cost per voice turn (Sarvam STT + TTS; additive over one chat turn — see Assumptions row 37)</t>
        </is>
      </c>
    </row>
    <row r="26">
      <c r="A26" t="inlineStr">
        <is>
          <t>STT $ (flat)</t>
        </is>
      </c>
      <c r="B26" s="14">
        <f>Assumptions!B17</f>
        <v/>
      </c>
    </row>
    <row r="27">
      <c r="A27" t="inlineStr">
        <is>
          <t>TTS $ (char-scaled)</t>
        </is>
      </c>
      <c r="B27" s="14">
        <f>(Assumptions!B36/10000)*Assumptions!B20</f>
        <v/>
      </c>
    </row>
    <row r="28">
      <c r="A28" t="inlineStr">
        <is>
          <t>Total voice overhead $</t>
        </is>
      </c>
      <c r="B28" s="15">
        <f>B26+B27</f>
        <v/>
      </c>
    </row>
    <row r="29">
      <c r="A29" t="inlineStr">
        <is>
          <t>Total voice overhead, INR</t>
        </is>
      </c>
      <c r="B29" s="16">
        <f>B28*Assumptions!B4</f>
        <v/>
      </c>
    </row>
    <row r="31">
      <c r="A31" s="3" t="inlineStr">
        <is>
          <t>Cost per weekly digest (Haiku)</t>
        </is>
      </c>
    </row>
    <row r="32">
      <c r="A32" t="inlineStr">
        <is>
          <t>Cost $</t>
        </is>
      </c>
      <c r="B32" s="15">
        <f>Assumptions!B40*B6+Assumptions!B41*C6</f>
        <v/>
      </c>
    </row>
    <row r="33">
      <c r="A33" t="inlineStr">
        <is>
          <t>Cost, INR</t>
        </is>
      </c>
      <c r="B33" s="16">
        <f>B32*Assumptions!B4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Usage Personas — Monthly AI Cost per Creator</t>
        </is>
      </c>
    </row>
    <row r="3">
      <c r="A3" s="12" t="inlineStr">
        <is>
          <t>Persona</t>
        </is>
      </c>
      <c r="B3" s="12" t="inlineStr">
        <is>
          <t>Turns</t>
        </is>
      </c>
      <c r="C3" s="12" t="inlineStr">
        <is>
          <t>Briefs</t>
        </is>
      </c>
      <c r="D3" s="12" t="inlineStr">
        <is>
          <t>Voice</t>
        </is>
      </c>
      <c r="E3" s="12" t="inlineStr">
        <is>
          <t>Monthly cost $</t>
        </is>
      </c>
      <c r="F3" s="12" t="inlineStr">
        <is>
          <t>Monthly cost INR</t>
        </is>
      </c>
      <c r="G3" s="12" t="inlineStr">
        <is>
          <t>Credits used (Option B/C def.)</t>
        </is>
      </c>
    </row>
    <row r="4">
      <c r="A4" t="inlineStr">
        <is>
          <t>Light</t>
        </is>
      </c>
      <c r="B4">
        <f>Assumptions!B57</f>
        <v/>
      </c>
      <c r="C4">
        <f>Assumptions!C57</f>
        <v/>
      </c>
      <c r="D4">
        <f>Assumptions!D57</f>
        <v/>
      </c>
      <c r="E4" s="14">
        <f>B4*UnitCosts!$B$18+C4*UnitCosts!$B$22+D4*UnitCosts!$B$28+Assumptions!$B$42*UnitCosts!$B$32</f>
        <v/>
      </c>
      <c r="F4" s="16">
        <f>E4*Assumptions!$B$4</f>
        <v/>
      </c>
      <c r="G4">
        <f>B4*Assumptions!$B$63+C4*Assumptions!$B$64+D4*Assumptions!$B$65</f>
        <v/>
      </c>
    </row>
    <row r="5">
      <c r="A5" t="inlineStr">
        <is>
          <t>Typical</t>
        </is>
      </c>
      <c r="B5">
        <f>Assumptions!B58</f>
        <v/>
      </c>
      <c r="C5">
        <f>Assumptions!C58</f>
        <v/>
      </c>
      <c r="D5">
        <f>Assumptions!D58</f>
        <v/>
      </c>
      <c r="E5" s="14">
        <f>B5*UnitCosts!$B$18+C5*UnitCosts!$B$22+D5*UnitCosts!$B$28+Assumptions!$B$42*UnitCosts!$B$32</f>
        <v/>
      </c>
      <c r="F5" s="16">
        <f>E5*Assumptions!$B$4</f>
        <v/>
      </c>
      <c r="G5">
        <f>B5*Assumptions!$B$63+C5*Assumptions!$B$64+D5*Assumptions!$B$65</f>
        <v/>
      </c>
    </row>
    <row r="6">
      <c r="A6" t="inlineStr">
        <is>
          <t>Heavy</t>
        </is>
      </c>
      <c r="B6">
        <f>Assumptions!B59</f>
        <v/>
      </c>
      <c r="C6">
        <f>Assumptions!C59</f>
        <v/>
      </c>
      <c r="D6">
        <f>Assumptions!D59</f>
        <v/>
      </c>
      <c r="E6" s="14">
        <f>B6*UnitCosts!$B$18+C6*UnitCosts!$B$22+D6*UnitCosts!$B$28+Assumptions!$B$42*UnitCosts!$B$32</f>
        <v/>
      </c>
      <c r="F6" s="16">
        <f>E6*Assumptions!$B$4</f>
        <v/>
      </c>
      <c r="G6">
        <f>B6*Assumptions!$B$63+C6*Assumptions!$B$64+D6*Assumptions!$B$65</f>
        <v/>
      </c>
    </row>
    <row r="7">
      <c r="A7" t="inlineStr">
        <is>
          <t>Manager seat (5x Typical)</t>
        </is>
      </c>
      <c r="B7">
        <f>Assumptions!B60</f>
        <v/>
      </c>
      <c r="C7">
        <f>Assumptions!C60</f>
        <v/>
      </c>
      <c r="D7">
        <f>Assumptions!D60</f>
        <v/>
      </c>
      <c r="E7" s="14">
        <f>B7*UnitCosts!$B$18+C7*UnitCosts!$B$22+D7*UnitCosts!$B$28+Assumptions!$B$42*UnitCosts!$B$32</f>
        <v/>
      </c>
      <c r="F7" s="16">
        <f>E7*Assumptions!$B$4</f>
        <v/>
      </c>
      <c r="G7">
        <f>B7*Assumptions!$B$63+C7*Assumptions!$B$64+D7*Assumptions!$B$65</f>
        <v/>
      </c>
    </row>
    <row r="9">
      <c r="A9" s="3" t="inlineStr">
        <is>
          <t>Cap check — current per-creator monthly cap (Assumptions!B49, USD 0.75)</t>
        </is>
      </c>
    </row>
    <row r="10">
      <c r="A10" s="12" t="inlineStr">
        <is>
          <t>Persona</t>
        </is>
      </c>
      <c r="B10" s="12" t="inlineStr">
        <is>
          <t>Monthly $ cost</t>
        </is>
      </c>
      <c r="C10" s="12" t="inlineStr">
        <is>
          <t>% of current cap ($0.75)</t>
        </is>
      </c>
      <c r="D10" s="12" t="inlineStr">
        <is>
          <t>% of raised cap ($2.00, sensitivity)</t>
        </is>
      </c>
    </row>
    <row r="11">
      <c r="A11" t="inlineStr">
        <is>
          <t>Light</t>
        </is>
      </c>
      <c r="B11" s="14">
        <f>E4</f>
        <v/>
      </c>
      <c r="C11" s="9">
        <f>E4/Assumptions!$B$49</f>
        <v/>
      </c>
      <c r="D11" s="9">
        <f>E4/Assumptions!$B$50</f>
        <v/>
      </c>
    </row>
    <row r="12">
      <c r="A12" t="inlineStr">
        <is>
          <t>Typical</t>
        </is>
      </c>
      <c r="B12" s="14">
        <f>E5</f>
        <v/>
      </c>
      <c r="C12" s="9">
        <f>E5/Assumptions!$B$49</f>
        <v/>
      </c>
      <c r="D12" s="9">
        <f>E5/Assumptions!$B$50</f>
        <v/>
      </c>
    </row>
    <row r="13">
      <c r="A13" t="inlineStr">
        <is>
          <t>Heavy</t>
        </is>
      </c>
      <c r="B13" s="14">
        <f>E6</f>
        <v/>
      </c>
      <c r="C13" s="9">
        <f>E6/Assumptions!$B$49</f>
        <v/>
      </c>
      <c r="D13" s="9">
        <f>E6/Assumptions!$B$50</f>
        <v/>
      </c>
    </row>
    <row r="14">
      <c r="A14" t="inlineStr">
        <is>
          <t>Manager seat (5x Typical)</t>
        </is>
      </c>
      <c r="B14" s="14">
        <f>E7</f>
        <v/>
      </c>
      <c r="C14" s="9">
        <f>E7/Assumptions!$B$49</f>
        <v/>
      </c>
      <c r="D14" s="9">
        <f>E7/Assumptions!$B$50</f>
        <v/>
      </c>
    </row>
    <row r="15">
      <c r="A15" s="2" t="inlineStr">
        <is>
          <t>Note: the cap is enforced per-creator. A Manager seat represents 5 creator accounts, each carrying its own USD 0.75 cap (a USD 3.75 pool in aggregate) — the % columns above compare the seat's TOTAL usage to a SINGLE creator's cap purely as a stress-test ruler, not a real gate a manager seat would hit.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Option A — Included in the 15% Platform Fee</t>
        </is>
      </c>
    </row>
    <row r="3">
      <c r="A3" s="3" t="inlineStr">
        <is>
          <t>Platform fee revenue at N deals/month (deal size = Assumptions!B46, fee % = Assumptions!B45)</t>
        </is>
      </c>
    </row>
    <row r="4">
      <c r="A4" s="17" t="inlineStr">
        <is>
          <t>Deals/month</t>
        </is>
      </c>
      <c r="B4" s="17" t="inlineStr">
        <is>
          <t>Fee revenue INR</t>
        </is>
      </c>
    </row>
    <row r="5">
      <c r="A5" t="n">
        <v>1</v>
      </c>
      <c r="B5" s="11">
        <f>1*Assumptions!$B$46*Assumptions!$B$45</f>
        <v/>
      </c>
    </row>
    <row r="6">
      <c r="A6" t="n">
        <v>2</v>
      </c>
      <c r="B6" s="11">
        <f>2*Assumptions!$B$46*Assumptions!$B$45</f>
        <v/>
      </c>
    </row>
    <row r="7">
      <c r="A7" t="n">
        <v>4</v>
      </c>
      <c r="B7" s="11">
        <f>4*Assumptions!$B$46*Assumptions!$B$45</f>
        <v/>
      </c>
    </row>
    <row r="9">
      <c r="A9" s="3" t="inlineStr">
        <is>
          <t>AI cost as a percent of platform fee revenue, by persona and deal count</t>
        </is>
      </c>
    </row>
    <row r="10">
      <c r="A10" s="12" t="inlineStr">
        <is>
          <t>Persona</t>
        </is>
      </c>
      <c r="B10" s="12" t="inlineStr">
        <is>
          <t>Deals/mo</t>
        </is>
      </c>
      <c r="C10" s="12" t="inlineStr">
        <is>
          <t>Fee revenue INR</t>
        </is>
      </c>
      <c r="D10" s="12" t="inlineStr">
        <is>
          <t>AI cost INR</t>
        </is>
      </c>
      <c r="E10" s="12" t="inlineStr">
        <is>
          <t>AI cost as % of fee</t>
        </is>
      </c>
      <c r="F10" s="12" t="inlineStr">
        <is>
          <t>Gross margin INR</t>
        </is>
      </c>
      <c r="G10" s="12" t="inlineStr">
        <is>
          <t>Gross margin %</t>
        </is>
      </c>
    </row>
    <row r="11">
      <c r="A11" t="inlineStr">
        <is>
          <t>Light</t>
        </is>
      </c>
      <c r="B11" t="n">
        <v>1</v>
      </c>
      <c r="C11" s="11">
        <f>B5</f>
        <v/>
      </c>
      <c r="D11" s="11">
        <f>Personas!$F$4</f>
        <v/>
      </c>
      <c r="E11" s="9">
        <f>D11/C11</f>
        <v/>
      </c>
      <c r="F11" s="11">
        <f>C11-D11</f>
        <v/>
      </c>
      <c r="G11" s="9">
        <f>F11/C11</f>
        <v/>
      </c>
    </row>
    <row r="12">
      <c r="A12" t="inlineStr">
        <is>
          <t>Light</t>
        </is>
      </c>
      <c r="B12" t="n">
        <v>2</v>
      </c>
      <c r="C12" s="11">
        <f>B6</f>
        <v/>
      </c>
      <c r="D12" s="11">
        <f>Personas!$F$4</f>
        <v/>
      </c>
      <c r="E12" s="9">
        <f>D12/C12</f>
        <v/>
      </c>
      <c r="F12" s="11">
        <f>C12-D12</f>
        <v/>
      </c>
      <c r="G12" s="9">
        <f>F12/C12</f>
        <v/>
      </c>
    </row>
    <row r="13">
      <c r="A13" t="inlineStr">
        <is>
          <t>Light</t>
        </is>
      </c>
      <c r="B13" t="n">
        <v>4</v>
      </c>
      <c r="C13" s="11">
        <f>B7</f>
        <v/>
      </c>
      <c r="D13" s="11">
        <f>Personas!$F$4</f>
        <v/>
      </c>
      <c r="E13" s="9">
        <f>D13/C13</f>
        <v/>
      </c>
      <c r="F13" s="11">
        <f>C13-D13</f>
        <v/>
      </c>
      <c r="G13" s="9">
        <f>F13/C13</f>
        <v/>
      </c>
    </row>
    <row r="14">
      <c r="A14" t="inlineStr">
        <is>
          <t>Typical</t>
        </is>
      </c>
      <c r="B14" t="n">
        <v>1</v>
      </c>
      <c r="C14" s="11">
        <f>B5</f>
        <v/>
      </c>
      <c r="D14" s="11">
        <f>Personas!$F$5</f>
        <v/>
      </c>
      <c r="E14" s="9">
        <f>D14/C14</f>
        <v/>
      </c>
      <c r="F14" s="11">
        <f>C14-D14</f>
        <v/>
      </c>
      <c r="G14" s="9">
        <f>F14/C14</f>
        <v/>
      </c>
    </row>
    <row r="15">
      <c r="A15" t="inlineStr">
        <is>
          <t>Typical</t>
        </is>
      </c>
      <c r="B15" t="n">
        <v>2</v>
      </c>
      <c r="C15" s="11">
        <f>B6</f>
        <v/>
      </c>
      <c r="D15" s="11">
        <f>Personas!$F$5</f>
        <v/>
      </c>
      <c r="E15" s="9">
        <f>D15/C15</f>
        <v/>
      </c>
      <c r="F15" s="11">
        <f>C15-D15</f>
        <v/>
      </c>
      <c r="G15" s="9">
        <f>F15/C15</f>
        <v/>
      </c>
    </row>
    <row r="16">
      <c r="A16" t="inlineStr">
        <is>
          <t>Typical</t>
        </is>
      </c>
      <c r="B16" t="n">
        <v>4</v>
      </c>
      <c r="C16" s="11">
        <f>B7</f>
        <v/>
      </c>
      <c r="D16" s="11">
        <f>Personas!$F$5</f>
        <v/>
      </c>
      <c r="E16" s="9">
        <f>D16/C16</f>
        <v/>
      </c>
      <c r="F16" s="11">
        <f>C16-D16</f>
        <v/>
      </c>
      <c r="G16" s="9">
        <f>F16/C16</f>
        <v/>
      </c>
    </row>
    <row r="17">
      <c r="A17" t="inlineStr">
        <is>
          <t>Heavy</t>
        </is>
      </c>
      <c r="B17" t="n">
        <v>1</v>
      </c>
      <c r="C17" s="11">
        <f>B5</f>
        <v/>
      </c>
      <c r="D17" s="11">
        <f>Personas!$F$6</f>
        <v/>
      </c>
      <c r="E17" s="9">
        <f>D17/C17</f>
        <v/>
      </c>
      <c r="F17" s="11">
        <f>C17-D17</f>
        <v/>
      </c>
      <c r="G17" s="9">
        <f>F17/C17</f>
        <v/>
      </c>
    </row>
    <row r="18">
      <c r="A18" t="inlineStr">
        <is>
          <t>Heavy</t>
        </is>
      </c>
      <c r="B18" t="n">
        <v>2</v>
      </c>
      <c r="C18" s="11">
        <f>B6</f>
        <v/>
      </c>
      <c r="D18" s="11">
        <f>Personas!$F$6</f>
        <v/>
      </c>
      <c r="E18" s="9">
        <f>D18/C18</f>
        <v/>
      </c>
      <c r="F18" s="11">
        <f>C18-D18</f>
        <v/>
      </c>
      <c r="G18" s="9">
        <f>F18/C18</f>
        <v/>
      </c>
    </row>
    <row r="19">
      <c r="A19" t="inlineStr">
        <is>
          <t>Heavy</t>
        </is>
      </c>
      <c r="B19" t="n">
        <v>4</v>
      </c>
      <c r="C19" s="11">
        <f>B7</f>
        <v/>
      </c>
      <c r="D19" s="11">
        <f>Personas!$F$6</f>
        <v/>
      </c>
      <c r="E19" s="9">
        <f>D19/C19</f>
        <v/>
      </c>
      <c r="F19" s="11">
        <f>C19-D19</f>
        <v/>
      </c>
      <c r="G19" s="9">
        <f>F19/C19</f>
        <v/>
      </c>
    </row>
    <row r="21">
      <c r="A21" s="2" t="inlineStr">
        <is>
          <t>Reading this table: at 1 deal/month, AI cost eats the largest share of the fee; at 4 deals/month it is nearly noise. A Light creator on Option A is essentially free to serve at any deal cadence; a Heavy creator at only 1 deal/month gives up a visible slice of that single fee to AI cost.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Option B — Creator Subscription with AI Credits</t>
        </is>
      </c>
    </row>
    <row r="3">
      <c r="A3" s="3" t="inlineStr">
        <is>
          <t>Credits needed per persona (1 turn = 1 credit, 1 brief = 3 credits, 1 voice = 2 credits, digest free)</t>
        </is>
      </c>
    </row>
    <row r="4">
      <c r="A4" s="17" t="inlineStr">
        <is>
          <t>Persona</t>
        </is>
      </c>
      <c r="B4" s="17" t="inlineStr">
        <is>
          <t>Credits/month needed</t>
        </is>
      </c>
    </row>
    <row r="5">
      <c r="A5" t="inlineStr">
        <is>
          <t>Light</t>
        </is>
      </c>
      <c r="B5">
        <f>Personas!G4</f>
        <v/>
      </c>
    </row>
    <row r="6">
      <c r="A6" t="inlineStr">
        <is>
          <t>Typical</t>
        </is>
      </c>
      <c r="B6">
        <f>Personas!G5</f>
        <v/>
      </c>
    </row>
    <row r="7">
      <c r="A7" t="inlineStr">
        <is>
          <t>Heavy</t>
        </is>
      </c>
      <c r="B7">
        <f>Personas!G6</f>
        <v/>
      </c>
    </row>
    <row r="9">
      <c r="A9" s="3" t="inlineStr">
        <is>
          <t>Blended cost per credit (Typical usage mix — turns + briefs + voice only; digest excluded, it is free/not a credit line)</t>
        </is>
      </c>
    </row>
    <row r="10">
      <c r="A10" t="inlineStr">
        <is>
          <t>Typical persona AI cost $ (turns+briefs+voice only)</t>
        </is>
      </c>
      <c r="B10" s="14">
        <f>Assumptions!B58*UnitCosts!$B$18+Assumptions!C58*UnitCosts!$B$22+Assumptions!D58*UnitCosts!$B$28</f>
        <v/>
      </c>
    </row>
    <row r="11">
      <c r="A11" t="inlineStr">
        <is>
          <t>Typical credits (excl. digest — digest is already 0 credits)</t>
        </is>
      </c>
      <c r="B11">
        <f>B5</f>
        <v/>
      </c>
    </row>
    <row r="12">
      <c r="A12" t="inlineStr">
        <is>
          <t>Blended cost per credit, $</t>
        </is>
      </c>
      <c r="B12" s="18">
        <f>B10/B11</f>
        <v/>
      </c>
    </row>
    <row r="13">
      <c r="A13" t="inlineStr">
        <is>
          <t>Blended cost per credit, INR</t>
        </is>
      </c>
      <c r="B13" s="19">
        <f>B12*Assumptions!$B$4</f>
        <v/>
      </c>
    </row>
    <row r="15">
      <c r="A15" s="2" t="inlineStr">
        <is>
          <t>Caution: this blended rate hides a wide spread by credit TYPE — a turn credit costs about 6-7x a brief credit, and a voice credit costs about 7x a turn credit (see UnitCosts). A flat credit price under-charges voice-heavy creators and over-charges brief-only ones. Fine for a v1 sheet; revisit if voice usage concentrates in a few accounts.</t>
        </is>
      </c>
    </row>
    <row r="17">
      <c r="A17" s="3" t="inlineStr">
        <is>
          <t>Subscription tiers</t>
        </is>
      </c>
    </row>
    <row r="18">
      <c r="A18" s="12" t="inlineStr">
        <is>
          <t>Tier</t>
        </is>
      </c>
      <c r="B18" s="12" t="inlineStr">
        <is>
          <t>Price INR/mo</t>
        </is>
      </c>
      <c r="C18" s="12" t="inlineStr">
        <is>
          <t>Included credits</t>
        </is>
      </c>
      <c r="D18" s="12" t="inlineStr">
        <is>
          <t>Cost to serve INR (blended)</t>
        </is>
      </c>
      <c r="E18" s="12" t="inlineStr">
        <is>
          <t>Gross margin INR</t>
        </is>
      </c>
      <c r="F18" s="12" t="inlineStr">
        <is>
          <t>Gross margin %</t>
        </is>
      </c>
    </row>
    <row r="19">
      <c r="A19">
        <f>Assumptions!A70</f>
        <v/>
      </c>
      <c r="B19" s="11">
        <f>Assumptions!B70</f>
        <v/>
      </c>
      <c r="C19">
        <f>Assumptions!C70</f>
        <v/>
      </c>
      <c r="D19" s="11">
        <f>C19*$B$13</f>
        <v/>
      </c>
      <c r="E19" s="11">
        <f>B19-D19</f>
        <v/>
      </c>
      <c r="F19" s="9">
        <f>E19/B19</f>
        <v/>
      </c>
    </row>
    <row r="20">
      <c r="A20">
        <f>Assumptions!A71</f>
        <v/>
      </c>
      <c r="B20" s="11">
        <f>Assumptions!B71</f>
        <v/>
      </c>
      <c r="C20">
        <f>Assumptions!C71</f>
        <v/>
      </c>
      <c r="D20" s="11">
        <f>C20*$B$13</f>
        <v/>
      </c>
      <c r="E20" s="11">
        <f>B20-D20</f>
        <v/>
      </c>
      <c r="F20" s="9">
        <f>E20/B20</f>
        <v/>
      </c>
    </row>
    <row r="21">
      <c r="A21">
        <f>Assumptions!A72</f>
        <v/>
      </c>
      <c r="B21" s="11">
        <f>Assumptions!B72</f>
        <v/>
      </c>
      <c r="C21">
        <f>Assumptions!C72</f>
        <v/>
      </c>
      <c r="D21" s="11">
        <f>C21*$B$13</f>
        <v/>
      </c>
      <c r="E21" s="11">
        <f>B21-D21</f>
        <v/>
      </c>
      <c r="F21" s="9">
        <f>E21/B21</f>
        <v/>
      </c>
    </row>
    <row r="23">
      <c r="A23" s="3" t="inlineStr">
        <is>
          <t>Headroom: included credits vs. persona need</t>
        </is>
      </c>
    </row>
    <row r="24">
      <c r="A24" s="12" t="inlineStr">
        <is>
          <t>Persona</t>
        </is>
      </c>
      <c r="B24" s="12" t="inlineStr">
        <is>
          <t>Credits needed</t>
        </is>
      </c>
      <c r="C24" s="12" t="inlineStr">
        <is>
          <t>Matched tier</t>
        </is>
      </c>
      <c r="D24" s="12" t="inlineStr">
        <is>
          <t>Tier included credits</t>
        </is>
      </c>
      <c r="E24" s="12" t="inlineStr">
        <is>
          <t>Headroom (credits)</t>
        </is>
      </c>
    </row>
    <row r="25">
      <c r="A25" t="inlineStr">
        <is>
          <t>Light</t>
        </is>
      </c>
      <c r="B25">
        <f>B5</f>
        <v/>
      </c>
      <c r="C25" t="inlineStr">
        <is>
          <t>Starter</t>
        </is>
      </c>
      <c r="D25">
        <f>C19</f>
        <v/>
      </c>
      <c r="E25">
        <f>D25-B25</f>
        <v/>
      </c>
    </row>
    <row r="26">
      <c r="A26" t="inlineStr">
        <is>
          <t>Typical</t>
        </is>
      </c>
      <c r="B26">
        <f>B6</f>
        <v/>
      </c>
      <c r="C26" t="inlineStr">
        <is>
          <t>Pro</t>
        </is>
      </c>
      <c r="D26">
        <f>C20</f>
        <v/>
      </c>
      <c r="E26">
        <f>D26-B26</f>
        <v/>
      </c>
    </row>
    <row r="27">
      <c r="A27" t="inlineStr">
        <is>
          <t>Heavy</t>
        </is>
      </c>
      <c r="B27">
        <f>B7</f>
        <v/>
      </c>
      <c r="C27" t="inlineStr">
        <is>
          <t>Max</t>
        </is>
      </c>
      <c r="D27">
        <f>C21</f>
        <v/>
      </c>
      <c r="E27">
        <f>D27-B27</f>
        <v/>
      </c>
    </row>
    <row r="29">
      <c r="A29" s="3" t="inlineStr">
        <is>
          <t>Top-up pack economics</t>
        </is>
      </c>
    </row>
    <row r="30">
      <c r="A30" t="inlineStr">
        <is>
          <t>Pack size (credits)</t>
        </is>
      </c>
      <c r="B30">
        <f>Assumptions!B74</f>
        <v/>
      </c>
    </row>
    <row r="31">
      <c r="A31" t="inlineStr">
        <is>
          <t>Pack price (INR)</t>
        </is>
      </c>
      <c r="B31" s="11">
        <f>Assumptions!B75</f>
        <v/>
      </c>
    </row>
    <row r="32">
      <c r="A32" t="inlineStr">
        <is>
          <t>Cost to serve pack, INR (blended)</t>
        </is>
      </c>
      <c r="B32" s="11">
        <f>B30*$B$13</f>
        <v/>
      </c>
    </row>
    <row r="33">
      <c r="A33" t="inlineStr">
        <is>
          <t>Margin, INR</t>
        </is>
      </c>
      <c r="B33" s="11">
        <f>B31-B32</f>
        <v/>
      </c>
    </row>
    <row r="34">
      <c r="A34" t="inlineStr">
        <is>
          <t>Margin, %</t>
        </is>
      </c>
      <c r="B34" s="9">
        <f>B33/B31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Option C — Hybrid: Included Baseline + Paid Top-ups + Manager Seat</t>
        </is>
      </c>
    </row>
    <row r="3">
      <c r="A3" t="inlineStr">
        <is>
          <t>Included FREE credits / creator / month</t>
        </is>
      </c>
      <c r="B3">
        <f>Assumptions!B78</f>
        <v/>
      </c>
    </row>
    <row r="4">
      <c r="A4" t="inlineStr">
        <is>
          <t>Cost to serve included credits, INR (blended rate from OptionB!B13)</t>
        </is>
      </c>
      <c r="B4" s="11">
        <f>B3*OptionB!$B$13</f>
        <v/>
      </c>
    </row>
    <row r="5">
      <c r="A5" t="inlineStr">
        <is>
          <t>Cost to serve included credits, USD</t>
        </is>
      </c>
      <c r="B5" s="14">
        <f>B4/Assumptions!$B$4</f>
        <v/>
      </c>
    </row>
    <row r="7">
      <c r="A7" s="3" t="inlineStr">
        <is>
          <t>Credits beyond the free tier, by persona, and top-up cost</t>
        </is>
      </c>
    </row>
    <row r="8">
      <c r="A8" s="12" t="inlineStr">
        <is>
          <t>Persona</t>
        </is>
      </c>
      <c r="B8" s="12" t="inlineStr">
        <is>
          <t>Credits needed</t>
        </is>
      </c>
      <c r="C8" s="12" t="inlineStr">
        <is>
          <t>Free credits</t>
        </is>
      </c>
      <c r="D8" s="12" t="inlineStr">
        <is>
          <t>Credits to purchase</t>
        </is>
      </c>
      <c r="E8" s="12" t="inlineStr">
        <is>
          <t>Top-up cost INR</t>
        </is>
      </c>
    </row>
    <row r="9">
      <c r="A9" t="inlineStr">
        <is>
          <t>Light</t>
        </is>
      </c>
      <c r="B9">
        <f>OptionB!B5</f>
        <v/>
      </c>
      <c r="C9">
        <f>$B$3</f>
        <v/>
      </c>
      <c r="D9">
        <f>MAX(0,B9-C9)</f>
        <v/>
      </c>
      <c r="E9" s="11">
        <f>D9*(Assumptions!$B$75/Assumptions!$B$74)</f>
        <v/>
      </c>
    </row>
    <row r="10">
      <c r="A10" t="inlineStr">
        <is>
          <t>Typical</t>
        </is>
      </c>
      <c r="B10">
        <f>OptionB!B6</f>
        <v/>
      </c>
      <c r="C10">
        <f>$B$3</f>
        <v/>
      </c>
      <c r="D10">
        <f>MAX(0,B10-C10)</f>
        <v/>
      </c>
      <c r="E10" s="11">
        <f>D10*(Assumptions!$B$75/Assumptions!$B$74)</f>
        <v/>
      </c>
    </row>
    <row r="11">
      <c r="A11" t="inlineStr">
        <is>
          <t>Heavy</t>
        </is>
      </c>
      <c r="B11">
        <f>OptionB!B7</f>
        <v/>
      </c>
      <c r="C11">
        <f>$B$3</f>
        <v/>
      </c>
      <c r="D11">
        <f>MAX(0,B11-C11)</f>
        <v/>
      </c>
      <c r="E11" s="11">
        <f>D11*(Assumptions!$B$75/Assumptions!$B$74)</f>
        <v/>
      </c>
    </row>
    <row r="13">
      <c r="A13" s="3" t="inlineStr">
        <is>
          <t>Manager seat (up to 5 creators)</t>
        </is>
      </c>
    </row>
    <row r="14">
      <c r="A14" t="inlineStr">
        <is>
          <t>Manager seat price, INR/month</t>
        </is>
      </c>
      <c r="B14" s="11">
        <f>Assumptions!B79</f>
        <v/>
      </c>
    </row>
    <row r="15">
      <c r="A15" t="inlineStr">
        <is>
          <t>Cost to serve 5 Typical creators, full usage, INR</t>
        </is>
      </c>
      <c r="B15" s="11">
        <f>Personas!F7</f>
        <v/>
      </c>
    </row>
    <row r="16">
      <c r="A16" t="inlineStr">
        <is>
          <t>Margin, INR</t>
        </is>
      </c>
      <c r="B16" s="11">
        <f>B14-B15</f>
        <v/>
      </c>
    </row>
    <row r="17">
      <c r="A17" t="inlineStr">
        <is>
          <t>Margin, %</t>
        </is>
      </c>
      <c r="B17" s="9">
        <f>B16/B14</f>
        <v/>
      </c>
    </row>
    <row r="19">
      <c r="A19" s="3" t="inlineStr">
        <is>
          <t>Net monthly AI-credit economics per creator (absorbed free cost vs. top-up margin; excludes platform fee revenue)</t>
        </is>
      </c>
    </row>
    <row r="20">
      <c r="A20" s="12" t="inlineStr">
        <is>
          <t>Persona</t>
        </is>
      </c>
      <c r="B20" s="12" t="inlineStr">
        <is>
          <t>Absorbed cost INR (free credits used)</t>
        </is>
      </c>
      <c r="C20" s="12" t="inlineStr">
        <is>
          <t>Top-up revenue INR</t>
        </is>
      </c>
      <c r="D20" s="12" t="inlineStr">
        <is>
          <t>Top-up cost INR</t>
        </is>
      </c>
      <c r="E20" s="12" t="inlineStr">
        <is>
          <t>Net INR (revenue - all cost)</t>
        </is>
      </c>
    </row>
    <row r="21">
      <c r="A21" t="inlineStr">
        <is>
          <t>Light</t>
        </is>
      </c>
      <c r="B21" s="11">
        <f>MIN(B9,C9)*OptionB!$B$13</f>
        <v/>
      </c>
      <c r="C21" s="11">
        <f>E9</f>
        <v/>
      </c>
      <c r="D21" s="11">
        <f>D9*OptionB!$B$13</f>
        <v/>
      </c>
      <c r="E21" s="11">
        <f>C21-B21-D21</f>
        <v/>
      </c>
    </row>
    <row r="22">
      <c r="A22" t="inlineStr">
        <is>
          <t>Typical</t>
        </is>
      </c>
      <c r="B22" s="11">
        <f>MIN(B10,C10)*OptionB!$B$13</f>
        <v/>
      </c>
      <c r="C22" s="11">
        <f>E10</f>
        <v/>
      </c>
      <c r="D22" s="11">
        <f>D10*OptionB!$B$13</f>
        <v/>
      </c>
      <c r="E22" s="11">
        <f>C22-B22-D22</f>
        <v/>
      </c>
    </row>
    <row r="23">
      <c r="A23" t="inlineStr">
        <is>
          <t>Heavy</t>
        </is>
      </c>
      <c r="B23" s="11">
        <f>MIN(B11,C11)*OptionB!$B$13</f>
        <v/>
      </c>
      <c r="C23" s="11">
        <f>E11</f>
        <v/>
      </c>
      <c r="D23" s="11">
        <f>D11*OptionB!$B$13</f>
        <v/>
      </c>
      <c r="E23" s="11">
        <f>C23-B23-D23</f>
        <v/>
      </c>
    </row>
    <row r="25">
      <c r="A25" s="2" t="inlineStr">
        <is>
          <t>Light creators cost Sage the full absorbed amount with zero offsetting revenue (their usage never crosses the free 40 credits). Typical and Heavy creators cross into paid top-ups, which carry their own healthy margin (see OptionB top-up economics) and more than offset the absorbed baseline cost for that creator.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Break-even and Sensitivity</t>
        </is>
      </c>
    </row>
    <row r="3">
      <c r="A3" s="3" t="inlineStr">
        <is>
          <t>Scenario 1 — cache hit rate drops to 30% (baseline 70%)</t>
        </is>
      </c>
    </row>
    <row r="4">
      <c r="A4" t="inlineStr">
        <is>
          <t>Reduced cache hit rate</t>
        </is>
      </c>
      <c r="B4" s="9">
        <f>Assumptions!B82</f>
        <v/>
      </c>
    </row>
    <row r="5">
      <c r="A5" t="inlineStr">
        <is>
          <t>Blended cache rate $/token (reduced)</t>
        </is>
      </c>
      <c r="B5">
        <f>B4*UnitCosts!$D$5+(1-B4)*UnitCosts!$E$5</f>
        <v/>
      </c>
    </row>
    <row r="6">
      <c r="A6" t="inlineStr">
        <is>
          <t>Cacheable-tokens cost $ (reduced)</t>
        </is>
      </c>
      <c r="B6" s="14">
        <f>UnitCosts!$B$9*B5</f>
        <v/>
      </c>
    </row>
    <row r="7">
      <c r="A7" t="inlineStr">
        <is>
          <t>Base turn cost $ (reduced)</t>
        </is>
      </c>
      <c r="B7" s="14">
        <f>B6+UnitCosts!$B$13+UnitCosts!$B$14</f>
        <v/>
      </c>
    </row>
    <row r="8">
      <c r="A8" t="inlineStr">
        <is>
          <t>Cost per turn $ (reduced, incl. expected tool cost)</t>
        </is>
      </c>
      <c r="B8" s="14">
        <f>B7+UnitCosts!$B$17</f>
        <v/>
      </c>
    </row>
    <row r="9">
      <c r="A9" t="inlineStr">
        <is>
          <t>Cost per turn, INR (reduced)</t>
        </is>
      </c>
      <c r="B9" s="11">
        <f>B8*Assumptions!$B$4</f>
        <v/>
      </c>
    </row>
    <row r="10">
      <c r="A10" t="inlineStr">
        <is>
          <t>Increase vs. baseline cost/turn</t>
        </is>
      </c>
      <c r="B10" s="9">
        <f>B8/UnitCosts!$B$18-1</f>
        <v/>
      </c>
    </row>
    <row r="12">
      <c r="A12" t="inlineStr">
        <is>
          <t>Typical persona monthly cost under reduced cache hit rate</t>
        </is>
      </c>
    </row>
    <row r="13">
      <c r="A13" t="inlineStr">
        <is>
          <t>$</t>
        </is>
      </c>
      <c r="B13" s="14">
        <f>Assumptions!B58*B8+Assumptions!C58*UnitCosts!$B$22+Assumptions!D58*UnitCosts!$B$28+Assumptions!$B$42*UnitCosts!$B$32</f>
        <v/>
      </c>
    </row>
    <row r="14">
      <c r="A14" t="inlineStr">
        <is>
          <t>INR</t>
        </is>
      </c>
      <c r="B14" s="11">
        <f>B13*Assumptions!$B$4</f>
        <v/>
      </c>
    </row>
    <row r="15">
      <c r="A15" t="inlineStr">
        <is>
          <t>% of current cap ($0.75)</t>
        </is>
      </c>
      <c r="B15" s="9">
        <f>B13/Assumptions!$B$49</f>
        <v/>
      </c>
    </row>
    <row r="17">
      <c r="A17" t="inlineStr">
        <is>
          <t>Heavy persona monthly cost under reduced cache hit rate</t>
        </is>
      </c>
    </row>
    <row r="18">
      <c r="A18" t="inlineStr">
        <is>
          <t>$</t>
        </is>
      </c>
      <c r="B18" s="14">
        <f>Assumptions!B59*B8+Assumptions!C59*UnitCosts!$B$22+Assumptions!D59*UnitCosts!$B$28+Assumptions!$B$42*UnitCosts!$B$32</f>
        <v/>
      </c>
    </row>
    <row r="19">
      <c r="A19" t="inlineStr">
        <is>
          <t>INR</t>
        </is>
      </c>
      <c r="B19" s="11">
        <f>B18*Assumptions!$B$4</f>
        <v/>
      </c>
    </row>
    <row r="20">
      <c r="A20" t="inlineStr">
        <is>
          <t>% of current cap ($0.75)</t>
        </is>
      </c>
      <c r="B20" s="9">
        <f>B18/Assumptions!$B$49</f>
        <v/>
      </c>
    </row>
    <row r="21">
      <c r="A21" t="inlineStr">
        <is>
          <t>% of raised cap ($2.00)</t>
        </is>
      </c>
      <c r="B21" s="9">
        <f>B18/Assumptions!$B$50</f>
        <v/>
      </c>
    </row>
    <row r="23">
      <c r="A23" s="3" t="inlineStr">
        <is>
          <t>Scenario 2 — Sonnet used for brief extraction instead of Haiku</t>
        </is>
      </c>
    </row>
    <row r="24">
      <c r="A24" t="inlineStr">
        <is>
          <t>Cost per extraction $ (Sonnet)</t>
        </is>
      </c>
      <c r="B24" s="14">
        <f>Assumptions!B32*UnitCosts!$B$5+Assumptions!B33*UnitCosts!$C$5</f>
        <v/>
      </c>
    </row>
    <row r="25">
      <c r="A25" t="inlineStr">
        <is>
          <t>Cost per extraction, INR (Sonnet)</t>
        </is>
      </c>
      <c r="B25" s="11">
        <f>B24*Assumptions!$B$4</f>
        <v/>
      </c>
    </row>
    <row r="26">
      <c r="A26" t="inlineStr">
        <is>
          <t>Multiple of Haiku baseline cost</t>
        </is>
      </c>
      <c r="B26" s="20">
        <f>B24/UnitCosts!$B$22</f>
        <v/>
      </c>
    </row>
    <row r="28">
      <c r="A28" t="inlineStr">
        <is>
          <t>Typical persona monthly cost with Sonnet extraction</t>
        </is>
      </c>
    </row>
    <row r="29">
      <c r="A29" t="inlineStr">
        <is>
          <t>$</t>
        </is>
      </c>
      <c r="B29" s="14">
        <f>Assumptions!B58*UnitCosts!$B$18+Assumptions!C58*B24+Assumptions!D58*UnitCosts!$B$28+Assumptions!$B$42*UnitCosts!$B$32</f>
        <v/>
      </c>
    </row>
    <row r="30">
      <c r="A30" t="inlineStr">
        <is>
          <t>INR</t>
        </is>
      </c>
      <c r="B30" s="11">
        <f>B29*Assumptions!$B$4</f>
        <v/>
      </c>
    </row>
    <row r="31">
      <c r="A31" t="inlineStr">
        <is>
          <t>% of current cap ($0.75)</t>
        </is>
      </c>
      <c r="B31" s="9">
        <f>B29/Assumptions!$B$49</f>
        <v/>
      </c>
    </row>
    <row r="33">
      <c r="A33" t="inlineStr">
        <is>
          <t>Heavy persona monthly cost with Sonnet extraction</t>
        </is>
      </c>
    </row>
    <row r="34">
      <c r="A34" t="inlineStr">
        <is>
          <t>$</t>
        </is>
      </c>
      <c r="B34" s="14">
        <f>Assumptions!B59*UnitCosts!$B$18+Assumptions!C59*B24+Assumptions!D59*UnitCosts!$B$28+Assumptions!$B$42*UnitCosts!$B$32</f>
        <v/>
      </c>
    </row>
    <row r="35">
      <c r="A35" t="inlineStr">
        <is>
          <t>INR</t>
        </is>
      </c>
      <c r="B35" s="11">
        <f>B34*Assumptions!$B$4</f>
        <v/>
      </c>
    </row>
    <row r="36">
      <c r="A36" t="inlineStr">
        <is>
          <t>% of current cap ($0.75)</t>
        </is>
      </c>
      <c r="B36" s="9">
        <f>B34/Assumptions!$B$49</f>
        <v/>
      </c>
    </row>
    <row r="38">
      <c r="A38" s="3" t="inlineStr">
        <is>
          <t>Scenario 3 — per-creator cap raised from $0.75 to $2.00</t>
        </is>
      </c>
    </row>
    <row r="39">
      <c r="A39" t="inlineStr">
        <is>
          <t>Typical persona baseline monthly $ / raised cap</t>
        </is>
      </c>
      <c r="B39" s="9">
        <f>Personas!E5/Assumptions!$B$50</f>
        <v/>
      </c>
    </row>
    <row r="40">
      <c r="A40" t="inlineStr">
        <is>
          <t>Heavy persona baseline monthly $ / raised cap</t>
        </is>
      </c>
      <c r="B40" s="9">
        <f>Personas!E6/Assumptions!$B$50</f>
        <v/>
      </c>
    </row>
    <row r="42">
      <c r="A42" s="3" t="inlineStr">
        <is>
          <t>Combined worst case — Heavy persona, 30% cache hit AND Sonnet extraction</t>
        </is>
      </c>
    </row>
    <row r="43">
      <c r="A43" t="inlineStr">
        <is>
          <t>$</t>
        </is>
      </c>
      <c r="B43" s="14">
        <f>Assumptions!B59*B8+Assumptions!D59*UnitCosts!$B$28+Assumptions!C59*B24+Assumptions!$B$42*UnitCosts!$B$32</f>
        <v/>
      </c>
    </row>
    <row r="44">
      <c r="A44" t="inlineStr">
        <is>
          <t>INR</t>
        </is>
      </c>
      <c r="B44" s="11">
        <f>B43*Assumptions!$B$4</f>
        <v/>
      </c>
    </row>
    <row r="45">
      <c r="A45" t="inlineStr">
        <is>
          <t>% of current cap ($0.75)</t>
        </is>
      </c>
      <c r="B45" s="9">
        <f>B43/Assumptions!$B$49</f>
        <v/>
      </c>
    </row>
    <row r="46">
      <c r="A46" t="inlineStr">
        <is>
          <t>% of raised cap ($2.00)</t>
        </is>
      </c>
      <c r="B46" s="21">
        <f>B43/Assumptions!$B$50</f>
        <v/>
      </c>
    </row>
    <row r="48">
      <c r="A48" s="22" t="inlineStr">
        <is>
          <t>Reading this sheet: degraded caching alone pushes a Typical creator over the current $0.75 cap and a Heavy creator to roughly 3x it. Switching brief extraction to Sonnet triples that one line item on its own. Combined (worst case), a Heavy creator would exceed even a cap RAISED to $2.00 — the cap, not just the price sheet, needs a second look if usage skews heavy or caching underperforms in production.</t>
        </is>
      </c>
    </row>
    <row r="50">
      <c r="A50" s="3" t="inlineStr">
        <is>
          <t>GST note (18% on a subscription charged to an Indian creator)</t>
        </is>
      </c>
    </row>
    <row r="51">
      <c r="A51" s="12" t="inlineStr">
        <is>
          <t>Tier</t>
        </is>
      </c>
      <c r="B51" s="12" t="inlineStr">
        <is>
          <t>List price (INR)</t>
        </is>
      </c>
      <c r="C51" s="12" t="inlineStr">
        <is>
          <t>If price is GST-INCLUSIVE: base price</t>
        </is>
      </c>
      <c r="D51" s="12" t="inlineStr">
        <is>
          <t>...GST portion</t>
        </is>
      </c>
      <c r="E51" s="12" t="inlineStr">
        <is>
          <t>If price is GST-EXCLUSIVE: customer pays</t>
        </is>
      </c>
    </row>
    <row r="52">
      <c r="A52" t="inlineStr">
        <is>
          <t>Starter</t>
        </is>
      </c>
      <c r="B52" s="11">
        <f>Assumptions!B70</f>
        <v/>
      </c>
      <c r="C52" s="11">
        <f>B52/(1+Assumptions!$B$53)</f>
        <v/>
      </c>
      <c r="D52" s="11">
        <f>B52-C52</f>
        <v/>
      </c>
      <c r="E52" s="11">
        <f>B52*(1+Assumptions!$B$53)</f>
        <v/>
      </c>
    </row>
    <row r="53">
      <c r="A53" t="inlineStr">
        <is>
          <t>Pro</t>
        </is>
      </c>
      <c r="B53" s="11">
        <f>Assumptions!B71</f>
        <v/>
      </c>
      <c r="C53" s="11">
        <f>B53/(1+Assumptions!$B$53)</f>
        <v/>
      </c>
      <c r="D53" s="11">
        <f>B53-C53</f>
        <v/>
      </c>
      <c r="E53" s="11">
        <f>B53*(1+Assumptions!$B$53)</f>
        <v/>
      </c>
    </row>
    <row r="54">
      <c r="A54" t="inlineStr">
        <is>
          <t>Max</t>
        </is>
      </c>
      <c r="B54" s="11">
        <f>Assumptions!B72</f>
        <v/>
      </c>
      <c r="C54" s="11">
        <f>B54/(1+Assumptions!$B$53)</f>
        <v/>
      </c>
      <c r="D54" s="11">
        <f>B54-C54</f>
        <v/>
      </c>
      <c r="E54" s="11">
        <f>B54*(1+Assumptions!$B$53)</f>
        <v/>
      </c>
    </row>
    <row r="55">
      <c r="A55" t="inlineStr">
        <is>
          <t>Manager seat</t>
        </is>
      </c>
      <c r="B55" s="11">
        <f>Assumptions!B79</f>
        <v/>
      </c>
      <c r="C55" s="11">
        <f>B55/(1+Assumptions!$B$53)</f>
        <v/>
      </c>
      <c r="D55" s="11">
        <f>B55-C55</f>
        <v/>
      </c>
      <c r="E55" s="11">
        <f>B55*(1+Assumptions!$B$53)</f>
        <v/>
      </c>
    </row>
    <row r="57">
      <c r="A57" s="2" t="inlineStr">
        <is>
          <t>Recommendation: display INCLUSIVE prices (299/599/999/1999) to Indian consumers — standard B2C practice, no checkout surprise. GST registration/filing mechanics for AI-credit subscriptions are a compliance question for Swapnil + counsel, not a CFO ruling; flagged, not decided,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2026-09-04T09:37:51Z</dcterms:created>
  <dcterms:modified xmlns:dcterms="http://purl.org/dc/terms/" xmlns:xsi="http://www.w3.org/2001/XMLSchema-instance" xsi:type="dcterms:W3CDTF">2026-09-04T09:37:51Z</dcterms:modified>
</cp:coreProperties>
</file>