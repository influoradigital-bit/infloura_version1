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UnitCosts" sheetId="2" state="visible" r:id="rId2"/>
    <sheet xmlns:r="http://schemas.openxmlformats.org/officeDocument/2006/relationships" name="Personas" sheetId="3" state="visible" r:id="rId3"/>
    <sheet xmlns:r="http://schemas.openxmlformats.org/officeDocument/2006/relationships" name="OptionA" sheetId="4" state="visible" r:id="rId4"/>
    <sheet xmlns:r="http://schemas.openxmlformats.org/officeDocument/2006/relationships" name="OptionB" sheetId="5" state="visible" r:id="rId5"/>
    <sheet xmlns:r="http://schemas.openxmlformats.org/officeDocument/2006/relationships" name="OptionC" sheetId="6" state="visible" r:id="rId6"/>
    <sheet xmlns:r="http://schemas.openxmlformats.org/officeDocument/2006/relationships" name="Sensitivity" sheetId="7" state="visible" r:id="rId7"/>
    <sheet xmlns:r="http://schemas.openxmlformats.org/officeDocument/2006/relationships" name="Plan999" sheetId="8" state="visible" r:id="rId8"/>
  </sheets>
  <definedNames/>
  <calcPr calcId="124519" fullCalcOnLoad="1"/>
</workbook>
</file>

<file path=xl/styles.xml><?xml version="1.0" encoding="utf-8"?>
<styleSheet xmlns="http://schemas.openxmlformats.org/spreadsheetml/2006/main">
  <numFmts count="13">
    <numFmt numFmtId="164" formatCode="&quot;$&quot;0.00"/>
    <numFmt numFmtId="165" formatCode="&quot;$&quot;0.000"/>
    <numFmt numFmtId="166" formatCode="&quot;Rs.&quot;0"/>
    <numFmt numFmtId="167" formatCode="0.000000"/>
    <numFmt numFmtId="168" formatCode="&quot;$&quot;0.0000"/>
    <numFmt numFmtId="169" formatCode="0.0%"/>
    <numFmt numFmtId="170" formatCode="#,##0.00&quot; INR&quot;"/>
    <numFmt numFmtId="171" formatCode="&quot;$&quot;0.0000000"/>
    <numFmt numFmtId="172" formatCode="&quot;$&quot;#,##0.0000"/>
    <numFmt numFmtId="173" formatCode="&quot;$&quot;0.000000"/>
    <numFmt numFmtId="174" formatCode="0.0000&quot; INR&quot;"/>
    <numFmt numFmtId="175" formatCode="0.0&quot;x&quot;"/>
    <numFmt numFmtId="176" formatCode="0.0"/>
  </numFmts>
  <fonts count="6">
    <font>
      <name val="Calibri"/>
      <family val="2"/>
      <color theme="1"/>
      <sz val="11"/>
      <scheme val="minor"/>
    </font>
    <font>
      <b val="1"/>
      <sz val="14"/>
    </font>
    <font>
      <i val="1"/>
      <sz val="9"/>
    </font>
    <font>
      <b val="1"/>
      <color rgb="001F4E78"/>
      <sz val="11"/>
    </font>
    <font>
      <b val="1"/>
    </font>
    <font>
      <b val="1"/>
      <i val="1"/>
      <sz val="9"/>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2" fontId="0" fillId="0" borderId="0" pivotButton="0" quotePrefix="0" xfId="0"/>
    <xf numFmtId="170" fontId="0" fillId="0" borderId="0" pivotButton="0" quotePrefix="0" xfId="0"/>
    <xf numFmtId="0" fontId="4" fillId="2" borderId="0" pivotButton="0" quotePrefix="0" xfId="0"/>
    <xf numFmtId="171" fontId="0" fillId="0" borderId="0" pivotButton="0" quotePrefix="0" xfId="0"/>
    <xf numFmtId="172" fontId="0" fillId="0" borderId="0" pivotButton="0" quotePrefix="0" xfId="0"/>
    <xf numFmtId="172" fontId="4" fillId="0" borderId="0" pivotButton="0" quotePrefix="0" xfId="0"/>
    <xf numFmtId="170" fontId="4" fillId="0" borderId="0" pivotButton="0" quotePrefix="0" xfId="0"/>
    <xf numFmtId="0" fontId="4" fillId="0" borderId="0" pivotButton="0" quotePrefix="0" xfId="0"/>
    <xf numFmtId="173" fontId="0" fillId="0" borderId="0" pivotButton="0" quotePrefix="0" xfId="0"/>
    <xf numFmtId="174" fontId="4" fillId="0" borderId="0" pivotButton="0" quotePrefix="0" xfId="0"/>
    <xf numFmtId="175" fontId="0" fillId="0" borderId="0" pivotButton="0" quotePrefix="0" xfId="0"/>
    <xf numFmtId="169" fontId="4" fillId="0" borderId="0" pivotButton="0" quotePrefix="0" xfId="0"/>
    <xf numFmtId="0" fontId="5" fillId="0" borderId="0" pivotButton="0" quotePrefix="0" xfId="0"/>
    <xf numFmtId="4" fontId="4" fillId="0" borderId="0" pivotButton="0" quotePrefix="0" xfId="0"/>
    <xf numFmtId="4" fontId="0" fillId="0" borderId="0" pivotButton="0" quotePrefix="0" xfId="0"/>
    <xf numFmtId="17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30"/>
  <sheetViews>
    <sheetView workbookViewId="0">
      <selection activeCell="A1" sqref="A1"/>
    </sheetView>
  </sheetViews>
  <sheetFormatPr baseColWidth="8" defaultRowHeight="15"/>
  <cols>
    <col width="62" customWidth="1" min="1" max="1"/>
    <col width="16" customWidth="1" min="2" max="2"/>
    <col width="70" customWidth="1" min="3" max="3"/>
  </cols>
  <sheetData>
    <row r="1">
      <c r="A1" s="1" t="inlineStr">
        <is>
          <t>Meera for Creators — Credit Sheet: Assumptions</t>
        </is>
      </c>
    </row>
    <row r="2">
      <c r="A2" s="2" t="inlineStr">
        <is>
          <t>Every number below is editable. Every other sheet computes off these cells — nothing downstream is a pasted number.</t>
        </is>
      </c>
    </row>
    <row r="3">
      <c r="A3" s="3" t="inlineStr">
        <is>
          <t>FX</t>
        </is>
      </c>
    </row>
    <row r="4">
      <c r="A4" t="inlineStr">
        <is>
          <t>USD to INR</t>
        </is>
      </c>
      <c r="B4" t="n">
        <v>84</v>
      </c>
      <c r="C4" t="inlineStr">
        <is>
          <t>Per instruction, used for every INR conversion on this sheet. Note: influora-ai/app/costs/pricing.py bakes Rs.83/$1 as its own internal SARVAM_USD_PER_INR constant for the TTS $ rate (row 19) — that is a separate, code-level fact reproduced as-is; it is NOT swapped for 84, only the resulting USD amount is converted to INR at 84 like everything else.</t>
        </is>
      </c>
    </row>
    <row r="6">
      <c r="A6" s="3" t="inlineStr">
        <is>
          <t>Anthropic model pricing — source: influora-ai/app/costs/pricing.py PRICING_TABLE (verified 2026-07-11/12)</t>
        </is>
      </c>
    </row>
    <row r="7">
      <c r="A7" t="inlineStr">
        <is>
          <t>Sonnet model id (CLAUDE_MODEL default, used for the live creator chat turn)</t>
        </is>
      </c>
      <c r="B7" t="inlineStr">
        <is>
          <t>claude-sonnet-4-5-20250929</t>
        </is>
      </c>
    </row>
    <row r="8">
      <c r="A8" t="inlineStr">
        <is>
          <t>Sonnet input $ / MTok</t>
        </is>
      </c>
      <c r="B8" s="4" t="n">
        <v>3</v>
      </c>
    </row>
    <row r="9">
      <c r="A9" t="inlineStr">
        <is>
          <t>Sonnet output $ / MTok</t>
        </is>
      </c>
      <c r="B9" s="4" t="n">
        <v>15</v>
      </c>
    </row>
    <row r="10">
      <c r="A10" t="inlineStr">
        <is>
          <t>Sonnet cache READ multiplier (x input rate)</t>
        </is>
      </c>
      <c r="B10" t="n">
        <v>0.1</v>
      </c>
    </row>
    <row r="11">
      <c r="A11" t="inlineStr">
        <is>
          <t>Sonnet cache WRITE multiplier (x input rate)</t>
        </is>
      </c>
      <c r="B11" t="n">
        <v>1.25</v>
      </c>
    </row>
    <row r="12">
      <c r="A12" t="inlineStr">
        <is>
          <t>Haiku model id (TRENDSPARK_MODEL; BRIEF_EXTRACT_MODEL defaults to this per SPEC.md 7.5)</t>
        </is>
      </c>
      <c r="B12" t="inlineStr">
        <is>
          <t>claude-haiku-4-5-20251001</t>
        </is>
      </c>
    </row>
    <row r="13">
      <c r="A13" t="inlineStr">
        <is>
          <t>Haiku input $ / MTok</t>
        </is>
      </c>
      <c r="B13" s="4" t="n">
        <v>1</v>
      </c>
    </row>
    <row r="14">
      <c r="A14" t="inlineStr">
        <is>
          <t>Haiku output $ / MTok</t>
        </is>
      </c>
      <c r="B14" s="4" t="n">
        <v>5</v>
      </c>
    </row>
    <row r="16">
      <c r="A16" s="3" t="inlineStr">
        <is>
          <t>Sarvam voice pricing — source: pricing.py</t>
        </is>
      </c>
    </row>
    <row r="17">
      <c r="A17" t="inlineStr">
        <is>
          <t>STT flat $ / call (SARVAM_FLAT_COST_PER_CALL)</t>
        </is>
      </c>
      <c r="B17" s="5" t="n">
        <v>0.006</v>
      </c>
    </row>
    <row r="18">
      <c r="A18" t="inlineStr">
        <is>
          <t>TTS INR per 10,000 chars (SARVAM_TTS_INR_PER_10K_CHARS)</t>
        </is>
      </c>
      <c r="B18" s="6" t="n">
        <v>30</v>
      </c>
    </row>
    <row r="19">
      <c r="A19" t="inlineStr">
        <is>
          <t>TTS internal USD/INR constant used inside pricing.py (SARVAM_USD_PER_INR = 1/83)</t>
        </is>
      </c>
      <c r="B19" s="7">
        <f>1/83</f>
        <v/>
      </c>
    </row>
    <row r="20">
      <c r="A20" t="inlineStr">
        <is>
          <t>TTS USD per 10,000 chars (derived — matches pricing.py SARVAM_TTS_USD_PER_10K_CHARS)</t>
        </is>
      </c>
      <c r="B20" s="8">
        <f>B18*B19</f>
        <v/>
      </c>
    </row>
    <row r="22">
      <c r="A22" s="3" t="inlineStr">
        <is>
          <t>Chat turn assumptions (Sonnet, one creator chat turn)</t>
        </is>
      </c>
    </row>
    <row r="23">
      <c r="A23" t="inlineStr">
        <is>
          <t>Input tokens per turn</t>
        </is>
      </c>
      <c r="B23" t="n">
        <v>2500</v>
      </c>
    </row>
    <row r="24">
      <c r="A24" t="inlineStr">
        <is>
          <t>Cacheable fraction of input tokens (Block A/B prefix)</t>
        </is>
      </c>
      <c r="B24" s="9" t="n">
        <v>0.9</v>
      </c>
    </row>
    <row r="25">
      <c r="A25" t="inlineStr">
        <is>
          <t>Output tokens per turn</t>
        </is>
      </c>
      <c r="B25" t="n">
        <v>200</v>
      </c>
    </row>
    <row r="26">
      <c r="A26" t="inlineStr">
        <is>
          <t>Cache hit rate on Block A/B (baseline)</t>
        </is>
      </c>
      <c r="B26" s="9" t="n">
        <v>0.7</v>
      </c>
    </row>
    <row r="27">
      <c r="A27" t="inlineStr">
        <is>
          <t>Probability a turn includes one tool-call round trip</t>
        </is>
      </c>
      <c r="B27" s="9" t="n">
        <v>0.4</v>
      </c>
    </row>
    <row r="28">
      <c r="A28" t="inlineStr">
        <is>
          <t>Extra input tokens on a tool round trip (uncached tool_result)</t>
        </is>
      </c>
      <c r="B28" t="n">
        <v>300</v>
      </c>
    </row>
    <row r="29">
      <c r="A29" t="inlineStr">
        <is>
          <t>Extra output tokens on a tool round trip (final reply after tool use)</t>
        </is>
      </c>
      <c r="B29" t="n">
        <v>100</v>
      </c>
    </row>
    <row r="31">
      <c r="A31" s="3" t="inlineStr">
        <is>
          <t>Brief extraction assumptions (Haiku — SPEC.md §7.5, BRIEF_EXTRACT_MODEL)</t>
        </is>
      </c>
    </row>
    <row r="32">
      <c r="A32" t="inlineStr">
        <is>
          <t>Input tokens per extraction</t>
        </is>
      </c>
      <c r="B32" t="n">
        <v>1500</v>
      </c>
    </row>
    <row r="33">
      <c r="A33" t="inlineStr">
        <is>
          <t>Output tokens per extraction</t>
        </is>
      </c>
      <c r="B33" t="n">
        <v>400</v>
      </c>
    </row>
    <row r="35">
      <c r="A35" s="3" t="inlineStr">
        <is>
          <t>Voice turn assumptions</t>
        </is>
      </c>
    </row>
    <row r="36">
      <c r="A36" t="inlineStr">
        <is>
          <t>TTS characters per voice turn</t>
        </is>
      </c>
      <c r="B36" t="n">
        <v>300</v>
      </c>
    </row>
    <row r="37">
      <c r="A37" s="2" t="inlineStr">
        <is>
          <t>Voice turns are ADDITIVE on top of one of the persona's chat turns (Sarvam STT+TTS layered onto a turn that already happened), not separate chat completions — matches the "voice is additive" design note in influora-ai/app/config.py.</t>
        </is>
      </c>
    </row>
    <row r="39">
      <c r="A39" s="3" t="inlineStr">
        <is>
          <t>Weekly digest assumptions (Haiku — sized to the same order of magnitude as brief extraction; not yet built)</t>
        </is>
      </c>
    </row>
    <row r="40">
      <c r="A40" t="inlineStr">
        <is>
          <t>Input tokens per digest</t>
        </is>
      </c>
      <c r="B40" t="n">
        <v>1200</v>
      </c>
    </row>
    <row r="41">
      <c r="A41" t="inlineStr">
        <is>
          <t>Output tokens per digest</t>
        </is>
      </c>
      <c r="B41" t="n">
        <v>300</v>
      </c>
    </row>
    <row r="42">
      <c r="A42" t="inlineStr">
        <is>
          <t>Digests per month (52 weeks / 12 months)</t>
        </is>
      </c>
      <c r="B42" s="10">
        <f>52/12</f>
        <v/>
      </c>
    </row>
    <row r="44">
      <c r="A44" s="3" t="inlineStr">
        <is>
          <t>Platform + deal economics</t>
        </is>
      </c>
    </row>
    <row r="45">
      <c r="A45" t="inlineStr">
        <is>
          <t>Platform fee percent (application.yml PLATFORM_FEE_PERCENT default)</t>
        </is>
      </c>
      <c r="B45" s="9" t="n">
        <v>0.15</v>
      </c>
    </row>
    <row r="46">
      <c r="A46" t="inlineStr">
        <is>
          <t>Typical deal size (INR)</t>
        </is>
      </c>
      <c r="B46" s="11" t="n">
        <v>5000</v>
      </c>
    </row>
    <row r="48">
      <c r="A48" s="3" t="inlineStr">
        <is>
          <t>Per-creator AI spend cap — source: influora-ai/app/config.py ai_creator_monthly_cap_usd</t>
        </is>
      </c>
    </row>
    <row r="49">
      <c r="A49" t="inlineStr">
        <is>
          <t>Current cap (USD / creator / month)</t>
        </is>
      </c>
      <c r="B49" s="4" t="n">
        <v>0.75</v>
      </c>
    </row>
    <row r="50">
      <c r="A50" t="inlineStr">
        <is>
          <t>Sensitivity: raised cap (USD / creator / month)</t>
        </is>
      </c>
      <c r="B50" s="4" t="n">
        <v>2</v>
      </c>
    </row>
    <row r="52">
      <c r="A52" s="3" t="inlineStr">
        <is>
          <t>GST</t>
        </is>
      </c>
    </row>
    <row r="53">
      <c r="A53" t="inlineStr">
        <is>
          <t>GST rate on a subscription charged to an Indian creator</t>
        </is>
      </c>
      <c r="B53" s="9" t="n">
        <v>0.18</v>
      </c>
    </row>
    <row r="55">
      <c r="A55" s="3" t="inlineStr">
        <is>
          <t>Usage personas (per creator per month)</t>
        </is>
      </c>
    </row>
    <row r="56">
      <c r="A56" s="12" t="inlineStr">
        <is>
          <t>Persona</t>
        </is>
      </c>
      <c r="B56" s="12" t="inlineStr">
        <is>
          <t>Turns</t>
        </is>
      </c>
      <c r="C56" s="12" t="inlineStr">
        <is>
          <t>Briefs</t>
        </is>
      </c>
      <c r="D56" s="12" t="inlineStr">
        <is>
          <t>Voice</t>
        </is>
      </c>
    </row>
    <row r="57">
      <c r="A57" t="inlineStr">
        <is>
          <t>Light</t>
        </is>
      </c>
      <c r="B57" t="n">
        <v>20</v>
      </c>
      <c r="C57" t="n">
        <v>2</v>
      </c>
      <c r="D57" t="n">
        <v>0</v>
      </c>
    </row>
    <row r="58">
      <c r="A58" t="inlineStr">
        <is>
          <t>Typical</t>
        </is>
      </c>
      <c r="B58" t="n">
        <v>60</v>
      </c>
      <c r="C58" t="n">
        <v>6</v>
      </c>
      <c r="D58" t="n">
        <v>10</v>
      </c>
    </row>
    <row r="59">
      <c r="A59" t="inlineStr">
        <is>
          <t>Heavy</t>
        </is>
      </c>
      <c r="B59" t="n">
        <v>150</v>
      </c>
      <c r="C59" t="n">
        <v>15</v>
      </c>
      <c r="D59" t="n">
        <v>40</v>
      </c>
    </row>
    <row r="60">
      <c r="A60" t="inlineStr">
        <is>
          <t>Manager seat (5 creators x Typical)</t>
        </is>
      </c>
      <c r="B60">
        <f>B58*5</f>
        <v/>
      </c>
      <c r="C60">
        <f>C58*5</f>
        <v/>
      </c>
      <c r="D60">
        <f>D58*5</f>
        <v/>
      </c>
    </row>
    <row r="62">
      <c r="A62" s="3" t="inlineStr">
        <is>
          <t>Option B — subscription credit definitions (1 credit = 1 chat turn)</t>
        </is>
      </c>
    </row>
    <row r="63">
      <c r="A63" t="inlineStr">
        <is>
          <t>Credits per chat turn</t>
        </is>
      </c>
      <c r="B63" t="n">
        <v>1</v>
      </c>
    </row>
    <row r="64">
      <c r="A64" t="inlineStr">
        <is>
          <t>Credits per brief extraction</t>
        </is>
      </c>
      <c r="B64" t="n">
        <v>3</v>
      </c>
    </row>
    <row r="65">
      <c r="A65" t="inlineStr">
        <is>
          <t>Credits per voice turn</t>
        </is>
      </c>
      <c r="B65" t="n">
        <v>2</v>
      </c>
    </row>
    <row r="66">
      <c r="A66" t="inlineStr">
        <is>
          <t>Credits per weekly digest (free)</t>
        </is>
      </c>
      <c r="B66" t="n">
        <v>0</v>
      </c>
    </row>
    <row r="68">
      <c r="A68" s="3" t="inlineStr">
        <is>
          <t>Option B — subscription tier pricing (editable)</t>
        </is>
      </c>
    </row>
    <row r="69">
      <c r="A69" s="12" t="inlineStr">
        <is>
          <t>Tier</t>
        </is>
      </c>
      <c r="B69" s="12" t="inlineStr">
        <is>
          <t>Price INR/month</t>
        </is>
      </c>
      <c r="C69" s="12" t="inlineStr">
        <is>
          <t>Included credits</t>
        </is>
      </c>
    </row>
    <row r="70">
      <c r="A70" t="inlineStr">
        <is>
          <t>Starter</t>
        </is>
      </c>
      <c r="B70" s="11" t="n">
        <v>299</v>
      </c>
      <c r="C70" t="n">
        <v>100</v>
      </c>
    </row>
    <row r="71">
      <c r="A71" t="inlineStr">
        <is>
          <t>Pro</t>
        </is>
      </c>
      <c r="B71" s="11" t="n">
        <v>599</v>
      </c>
      <c r="C71" t="n">
        <v>300</v>
      </c>
    </row>
    <row r="72">
      <c r="A72" t="inlineStr">
        <is>
          <t>Max</t>
        </is>
      </c>
      <c r="B72" s="11" t="n">
        <v>999</v>
      </c>
      <c r="C72" t="n">
        <v>600</v>
      </c>
    </row>
    <row r="74">
      <c r="A74" t="inlineStr">
        <is>
          <t>Top-up pack size (credits)</t>
        </is>
      </c>
      <c r="B74" t="n">
        <v>100</v>
      </c>
    </row>
    <row r="75">
      <c r="A75" t="inlineStr">
        <is>
          <t>Top-up pack price (INR)</t>
        </is>
      </c>
      <c r="B75" s="11" t="n">
        <v>249</v>
      </c>
    </row>
    <row r="77">
      <c r="A77" s="3" t="inlineStr">
        <is>
          <t>Option C — hybrid</t>
        </is>
      </c>
    </row>
    <row r="78">
      <c r="A78" t="inlineStr">
        <is>
          <t>Included FREE credits / creator / month</t>
        </is>
      </c>
      <c r="B78" t="n">
        <v>40</v>
      </c>
    </row>
    <row r="79">
      <c r="A79" t="inlineStr">
        <is>
          <t>Manager seat price (INR/month, up to 5 creators)</t>
        </is>
      </c>
      <c r="B79" s="11" t="n">
        <v>1999</v>
      </c>
    </row>
    <row r="81">
      <c r="A81" s="3" t="inlineStr">
        <is>
          <t>Sensitivity toggles</t>
        </is>
      </c>
    </row>
    <row r="82">
      <c r="A82" t="inlineStr">
        <is>
          <t>Reduced cache hit rate (vs baseline 70%)</t>
        </is>
      </c>
      <c r="B82" s="9" t="n">
        <v>0.3</v>
      </c>
    </row>
    <row r="83">
      <c r="A83" t="inlineStr">
        <is>
          <t>Alt extraction model = Sonnet — input $/MTok</t>
        </is>
      </c>
      <c r="B83">
        <f>B8</f>
        <v/>
      </c>
    </row>
    <row r="84">
      <c r="A84" t="inlineStr">
        <is>
          <t>Alt extraction model = Sonnet — output $/MTok</t>
        </is>
      </c>
      <c r="B84">
        <f>B9</f>
        <v/>
      </c>
    </row>
    <row r="86">
      <c r="A86" s="17" t="inlineStr">
        <is>
          <t>Plan999 — Rs 999/mo creator subscription: 100 credits + 5 discovery searches + 100 outreach emails w/ follow-ups (added 2026-09-04, Rohan CFO)</t>
        </is>
      </c>
    </row>
    <row r="88">
      <c r="A88" t="inlineStr">
        <is>
          <t>Gemini 2.5 Flash pricing — source: influora-ai/app/costs/pricing.py PRICING_TABLE (already used for site-verification classify)</t>
        </is>
      </c>
    </row>
    <row r="89">
      <c r="A89" t="inlineStr">
        <is>
          <t>Gemini input $/MTok</t>
        </is>
      </c>
      <c r="B89" t="n">
        <v>0.3</v>
      </c>
    </row>
    <row r="90">
      <c r="A90" t="inlineStr">
        <is>
          <t>Gemini output $/MTok</t>
        </is>
      </c>
      <c r="B90" t="n">
        <v>2.5</v>
      </c>
    </row>
    <row r="92">
      <c r="A92" t="inlineStr">
        <is>
          <t>Perplexity Sonar pricing — source: Perplexity API pricing (aggregator-confirmed), verified 2026-09-04</t>
        </is>
      </c>
    </row>
    <row r="93">
      <c r="A93" t="inlineStr">
        <is>
          <t>Sonar input $/MTok</t>
        </is>
      </c>
      <c r="B93" t="n">
        <v>1</v>
      </c>
    </row>
    <row r="94">
      <c r="A94" t="inlineStr">
        <is>
          <t>Sonar output $/MTok</t>
        </is>
      </c>
      <c r="B94" t="n">
        <v>1</v>
      </c>
    </row>
    <row r="95">
      <c r="A95" t="inlineStr">
        <is>
          <t>Sonar per-request fee, low search-context tier ($ / 1000 requests)</t>
        </is>
      </c>
      <c r="B95" t="n">
        <v>5</v>
      </c>
    </row>
    <row r="97">
      <c r="A97" t="inlineStr">
        <is>
          <t>Discovery run composition — Phase E SPEC.md §5.2, site-verification cap per Priya correction #25 (5, not 12)</t>
        </is>
      </c>
    </row>
    <row r="98">
      <c r="A98" t="inlineStr">
        <is>
          <t>First-stage Perplexity calls — low end</t>
        </is>
      </c>
      <c r="B98" t="n">
        <v>6</v>
      </c>
    </row>
    <row r="99">
      <c r="A99" t="inlineStr">
        <is>
          <t>First-stage Perplexity calls — high end</t>
        </is>
      </c>
      <c r="B99" t="n">
        <v>8</v>
      </c>
    </row>
    <row r="100">
      <c r="A100" t="inlineStr">
        <is>
          <t>Second-stage contact-query Perplexity calls, per top candidate</t>
        </is>
      </c>
      <c r="B100" t="n">
        <v>2</v>
      </c>
    </row>
    <row r="101">
      <c r="A101" t="inlineStr">
        <is>
          <t>Top candidates carried to second stage</t>
        </is>
      </c>
      <c r="B101" t="n">
        <v>5</v>
      </c>
    </row>
    <row r="102">
      <c r="A102" t="inlineStr">
        <is>
          <t>Perplexity call — input tokens (system + query)</t>
        </is>
      </c>
      <c r="B102" t="n">
        <v>500</v>
      </c>
    </row>
    <row r="103">
      <c r="A103" t="inlineStr">
        <is>
          <t>Perplexity call — output tokens</t>
        </is>
      </c>
      <c r="B103" t="n">
        <v>700</v>
      </c>
    </row>
    <row r="104">
      <c r="A104" t="inlineStr">
        <is>
          <t>Site verifications via Gemini classify (capped)</t>
        </is>
      </c>
      <c r="B104" t="n">
        <v>5</v>
      </c>
    </row>
    <row r="105">
      <c r="A105" t="inlineStr">
        <is>
          <t>Gemini classify — input tokens (scraped page text)</t>
        </is>
      </c>
      <c r="B105" t="n">
        <v>5000</v>
      </c>
    </row>
    <row r="106">
      <c r="A106" t="inlineStr">
        <is>
          <t>Gemini classify — output tokens</t>
        </is>
      </c>
      <c r="B106" t="n">
        <v>300</v>
      </c>
    </row>
    <row r="107">
      <c r="A107" t="inlineStr">
        <is>
          <t>Claude fit-scoring call — input tokens (Sonnet)</t>
        </is>
      </c>
      <c r="B107" t="n">
        <v>3000</v>
      </c>
    </row>
    <row r="108">
      <c r="A108" t="inlineStr">
        <is>
          <t>Claude fit-scoring call — output tokens (Sonnet)</t>
        </is>
      </c>
      <c r="B108" t="n">
        <v>600</v>
      </c>
    </row>
    <row r="110">
      <c r="A110" t="inlineStr">
        <is>
          <t>Outreach email composition</t>
        </is>
      </c>
    </row>
    <row r="111">
      <c r="A111" t="inlineStr">
        <is>
          <t>Mailgun Foundation plan — USD/month, source: mailgun.com pricing, verified 2026-09-04</t>
        </is>
      </c>
      <c r="B111" t="n">
        <v>35</v>
      </c>
    </row>
    <row r="112">
      <c r="A112" t="inlineStr">
        <is>
          <t>Mailgun Foundation plan — included messages/month</t>
        </is>
      </c>
      <c r="B112" t="n">
        <v>50000</v>
      </c>
    </row>
    <row r="113">
      <c r="A113" t="inlineStr">
        <is>
          <t>Pitch draft — Claude Sonnet input tokens</t>
        </is>
      </c>
      <c r="B113" t="n">
        <v>2500</v>
      </c>
    </row>
    <row r="114">
      <c r="A114" t="inlineStr">
        <is>
          <t>Pitch draft — Claude Sonnet output tokens</t>
        </is>
      </c>
      <c r="B114" t="n">
        <v>400</v>
      </c>
    </row>
    <row r="115">
      <c r="A115" t="inlineStr">
        <is>
          <t>Follow-up draft — Claude Haiku input tokens</t>
        </is>
      </c>
      <c r="B115" t="n">
        <v>1500</v>
      </c>
    </row>
    <row r="116">
      <c r="A116" t="inlineStr">
        <is>
          <t>Follow-up draft — Claude Haiku output tokens</t>
        </is>
      </c>
      <c r="B116" t="n">
        <v>300</v>
      </c>
    </row>
    <row r="117">
      <c r="A117" t="inlineStr">
        <is>
          <t>Max follow-ups per pitch (plan text)</t>
        </is>
      </c>
      <c r="B117" t="n">
        <v>2</v>
      </c>
    </row>
    <row r="119">
      <c r="A119" t="inlineStr">
        <is>
          <t>Plan999 price and GST</t>
        </is>
      </c>
    </row>
    <row r="120">
      <c r="A120" t="inlineStr">
        <is>
          <t>List price INR/month</t>
        </is>
      </c>
      <c r="B120" t="n">
        <v>999</v>
      </c>
    </row>
    <row r="121">
      <c r="A121" t="inlineStr">
        <is>
          <t>GST rate (=Assumptions!B53)</t>
        </is>
      </c>
      <c r="B121">
        <f>B53</f>
        <v/>
      </c>
    </row>
    <row r="123">
      <c r="A123" t="inlineStr">
        <is>
          <t>Deal-fee sensitivity: platform fee on one extra Rs 5,000 deal/month (=B46*B45)</t>
        </is>
      </c>
      <c r="B123">
        <f>B46*B45</f>
        <v/>
      </c>
    </row>
    <row r="125">
      <c r="A125" t="inlineStr">
        <is>
          <t>Plan999 usage personas (per creator per month) — distinct from the Option B/C personas above</t>
        </is>
      </c>
    </row>
    <row r="126">
      <c r="A126" t="inlineStr">
        <is>
          <t>Persona</t>
        </is>
      </c>
      <c r="B126" t="inlineStr">
        <is>
          <t>Turns</t>
        </is>
      </c>
      <c r="C126" t="inlineStr">
        <is>
          <t>Voice</t>
        </is>
      </c>
      <c r="D126" t="inlineStr">
        <is>
          <t>Replies-&gt;briefs</t>
        </is>
      </c>
      <c r="E126" t="inlineStr">
        <is>
          <t>Searches</t>
        </is>
      </c>
      <c r="F126" t="inlineStr">
        <is>
          <t>Pitches</t>
        </is>
      </c>
      <c r="G126" t="inlineStr">
        <is>
          <t>Follow-ups</t>
        </is>
      </c>
      <c r="H126" t="inlineStr">
        <is>
          <t>Email-count reading used</t>
        </is>
      </c>
    </row>
    <row r="127">
      <c r="A127" t="inlineStr">
        <is>
          <t>Light</t>
        </is>
      </c>
      <c r="B127" t="n">
        <v>20</v>
      </c>
      <c r="C127" t="n">
        <v>0</v>
      </c>
      <c r="D127" t="n">
        <v>0</v>
      </c>
      <c r="E127" t="n">
        <v>2</v>
      </c>
      <c r="F127" t="n">
        <v>20</v>
      </c>
      <c r="G127" t="n">
        <v>0</v>
      </c>
      <c r="H127" t="inlineStr">
        <is>
          <t>20 pitches, 0 follow-ups (task gives no follow-up count)</t>
        </is>
      </c>
    </row>
    <row r="128">
      <c r="A128" t="inlineStr">
        <is>
          <t>Typical</t>
        </is>
      </c>
      <c r="B128" t="n">
        <v>60</v>
      </c>
      <c r="C128" t="n">
        <v>0</v>
      </c>
      <c r="D128" t="n">
        <v>10</v>
      </c>
      <c r="E128" t="n">
        <v>5</v>
      </c>
      <c r="F128" t="n">
        <v>34</v>
      </c>
      <c r="G128" t="n">
        <v>66</v>
      </c>
      <c r="H128" t="inlineStr">
        <is>
          <t>Interp. B: "100 emails" = 100 total sends incl. follow-ups</t>
        </is>
      </c>
    </row>
    <row r="129">
      <c r="A129" t="inlineStr">
        <is>
          <t>Heavy</t>
        </is>
      </c>
      <c r="B129" t="n">
        <v>100</v>
      </c>
      <c r="C129" t="n">
        <v>20</v>
      </c>
      <c r="D129" t="n">
        <v>25</v>
      </c>
      <c r="E129" t="n">
        <v>5</v>
      </c>
      <c r="F129" t="n">
        <v>100</v>
      </c>
      <c r="G129" t="n">
        <v>200</v>
      </c>
      <c r="H129" t="inlineStr">
        <is>
          <t>Interp. A: task states "100 emails plus 200 follow-ups" explicitly</t>
        </is>
      </c>
    </row>
    <row r="130">
      <c r="A130" t="inlineStr">
        <is>
          <t>Max abuse</t>
        </is>
      </c>
      <c r="B130" t="n">
        <v>100</v>
      </c>
      <c r="C130" t="n">
        <v>0</v>
      </c>
      <c r="D130" t="n">
        <v>0</v>
      </c>
      <c r="E130" t="n">
        <v>5</v>
      </c>
      <c r="F130" t="n">
        <v>100</v>
      </c>
      <c r="G130" t="n">
        <v>200</v>
      </c>
      <c r="H130" t="inlineStr">
        <is>
          <t>Every included unit maxed; worst-case (Interp. A) email reading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 t="inlineStr">
        <is>
          <t>Unit Cost Model</t>
        </is>
      </c>
    </row>
    <row r="3">
      <c r="A3" s="3" t="inlineStr">
        <is>
          <t>Effective per-token rates ($/token)</t>
        </is>
      </c>
    </row>
    <row r="4">
      <c r="A4" s="12" t="inlineStr">
        <is>
          <t>Model</t>
        </is>
      </c>
      <c r="B4" s="12" t="inlineStr">
        <is>
          <t>Input</t>
        </is>
      </c>
      <c r="C4" s="12" t="inlineStr">
        <is>
          <t>Output</t>
        </is>
      </c>
      <c r="D4" s="12" t="inlineStr">
        <is>
          <t>Cache read</t>
        </is>
      </c>
      <c r="E4" s="12" t="inlineStr">
        <is>
          <t>Cache write</t>
        </is>
      </c>
    </row>
    <row r="5">
      <c r="A5" t="inlineStr">
        <is>
          <t>Sonnet</t>
        </is>
      </c>
      <c r="B5" s="13">
        <f>Assumptions!B8/1000000</f>
        <v/>
      </c>
      <c r="C5" s="13">
        <f>Assumptions!B9/1000000</f>
        <v/>
      </c>
      <c r="D5" s="13">
        <f>B5*Assumptions!B10</f>
        <v/>
      </c>
      <c r="E5" s="13">
        <f>B5*Assumptions!B11</f>
        <v/>
      </c>
    </row>
    <row r="6">
      <c r="A6" t="inlineStr">
        <is>
          <t>Haiku</t>
        </is>
      </c>
      <c r="B6" s="13">
        <f>Assumptions!B13/1000000</f>
        <v/>
      </c>
      <c r="C6" s="13">
        <f>Assumptions!B14/1000000</f>
        <v/>
      </c>
    </row>
    <row r="8">
      <c r="A8" s="3" t="inlineStr">
        <is>
          <t>Cost per creator chat turn (Sonnet)</t>
        </is>
      </c>
    </row>
    <row r="9">
      <c r="A9" t="inlineStr">
        <is>
          <t>Cacheable input tokens</t>
        </is>
      </c>
      <c r="B9">
        <f>Assumptions!B23*Assumptions!B24</f>
        <v/>
      </c>
    </row>
    <row r="10">
      <c r="A10" t="inlineStr">
        <is>
          <t>Fresh (uncached) input tokens</t>
        </is>
      </c>
      <c r="B10">
        <f>Assumptions!B23*(1-Assumptions!B24)</f>
        <v/>
      </c>
    </row>
    <row r="11">
      <c r="A11" t="inlineStr">
        <is>
          <t>Blended cache rate $/token (hit-rate weighted)</t>
        </is>
      </c>
      <c r="B11">
        <f>Assumptions!B26*D5+(1-Assumptions!B26)*E5</f>
        <v/>
      </c>
    </row>
    <row r="12">
      <c r="A12" t="inlineStr">
        <is>
          <t>Cacheable-tokens cost $</t>
        </is>
      </c>
      <c r="B12" s="14">
        <f>B9*B11</f>
        <v/>
      </c>
    </row>
    <row r="13">
      <c r="A13" t="inlineStr">
        <is>
          <t>Fresh-input cost $</t>
        </is>
      </c>
      <c r="B13" s="14">
        <f>B10*B5</f>
        <v/>
      </c>
    </row>
    <row r="14">
      <c r="A14" t="inlineStr">
        <is>
          <t>Output cost $</t>
        </is>
      </c>
      <c r="B14" s="14">
        <f>Assumptions!B25*C5</f>
        <v/>
      </c>
    </row>
    <row r="15">
      <c r="A15" t="inlineStr">
        <is>
          <t>Base turn cost $ (no tool call)</t>
        </is>
      </c>
      <c r="B15" s="14">
        <f>B12+B13+B14</f>
        <v/>
      </c>
    </row>
    <row r="16">
      <c r="A16" t="inlineStr">
        <is>
          <t>Tool round-trip extra cost $ (if it happens)</t>
        </is>
      </c>
      <c r="B16" s="14">
        <f>Assumptions!B28*B5+Assumptions!B29*C5</f>
        <v/>
      </c>
    </row>
    <row r="17">
      <c r="A17" t="inlineStr">
        <is>
          <t>Expected tool-call cost $ (probability-weighted)</t>
        </is>
      </c>
      <c r="B17" s="14">
        <f>Assumptions!B27*B16</f>
        <v/>
      </c>
    </row>
    <row r="18">
      <c r="A18" t="inlineStr">
        <is>
          <t>Cost per chat turn $ (expected)</t>
        </is>
      </c>
      <c r="B18" s="15">
        <f>B15+B17</f>
        <v/>
      </c>
    </row>
    <row r="19">
      <c r="A19" t="inlineStr">
        <is>
          <t>Cost per chat turn, INR</t>
        </is>
      </c>
      <c r="B19" s="16">
        <f>B18*Assumptions!B4</f>
        <v/>
      </c>
    </row>
    <row r="21">
      <c r="A21" s="3" t="inlineStr">
        <is>
          <t>Cost per brief extraction (Haiku)</t>
        </is>
      </c>
    </row>
    <row r="22">
      <c r="A22" t="inlineStr">
        <is>
          <t>Cost $</t>
        </is>
      </c>
      <c r="B22" s="15">
        <f>Assumptions!B32*B6+Assumptions!B33*C6</f>
        <v/>
      </c>
    </row>
    <row r="23">
      <c r="A23" t="inlineStr">
        <is>
          <t>Cost, INR</t>
        </is>
      </c>
      <c r="B23" s="16">
        <f>B22*Assumptions!B4</f>
        <v/>
      </c>
    </row>
    <row r="25">
      <c r="A25" s="3" t="inlineStr">
        <is>
          <t>Cost per voice turn (Sarvam STT + TTS; additive over one chat turn — see Assumptions row 37)</t>
        </is>
      </c>
    </row>
    <row r="26">
      <c r="A26" t="inlineStr">
        <is>
          <t>STT $ (flat)</t>
        </is>
      </c>
      <c r="B26" s="14">
        <f>Assumptions!B17</f>
        <v/>
      </c>
    </row>
    <row r="27">
      <c r="A27" t="inlineStr">
        <is>
          <t>TTS $ (char-scaled)</t>
        </is>
      </c>
      <c r="B27" s="14">
        <f>(Assumptions!B36/10000)*Assumptions!B20</f>
        <v/>
      </c>
    </row>
    <row r="28">
      <c r="A28" t="inlineStr">
        <is>
          <t>Total voice overhead $</t>
        </is>
      </c>
      <c r="B28" s="15">
        <f>B26+B27</f>
        <v/>
      </c>
    </row>
    <row r="29">
      <c r="A29" t="inlineStr">
        <is>
          <t>Total voice overhead, INR</t>
        </is>
      </c>
      <c r="B29" s="16">
        <f>B28*Assumptions!B4</f>
        <v/>
      </c>
    </row>
    <row r="31">
      <c r="A31" s="3" t="inlineStr">
        <is>
          <t>Cost per weekly digest (Haiku)</t>
        </is>
      </c>
    </row>
    <row r="32">
      <c r="A32" t="inlineStr">
        <is>
          <t>Cost $</t>
        </is>
      </c>
      <c r="B32" s="15">
        <f>Assumptions!B40*B6+Assumptions!B41*C6</f>
        <v/>
      </c>
    </row>
    <row r="33">
      <c r="A33" t="inlineStr">
        <is>
          <t>Cost, INR</t>
        </is>
      </c>
      <c r="B33" s="16">
        <f>B32*Assumptions!B4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6" customWidth="1" min="5" max="5"/>
    <col width="16" customWidth="1" min="6" max="6"/>
    <col width="16" customWidth="1" min="7" max="7"/>
  </cols>
  <sheetData>
    <row r="1">
      <c r="A1" s="1" t="inlineStr">
        <is>
          <t>Usage Personas — Monthly AI Cost per Creator</t>
        </is>
      </c>
    </row>
    <row r="3">
      <c r="A3" s="12" t="inlineStr">
        <is>
          <t>Persona</t>
        </is>
      </c>
      <c r="B3" s="12" t="inlineStr">
        <is>
          <t>Turns</t>
        </is>
      </c>
      <c r="C3" s="12" t="inlineStr">
        <is>
          <t>Briefs</t>
        </is>
      </c>
      <c r="D3" s="12" t="inlineStr">
        <is>
          <t>Voice</t>
        </is>
      </c>
      <c r="E3" s="12" t="inlineStr">
        <is>
          <t>Monthly cost $</t>
        </is>
      </c>
      <c r="F3" s="12" t="inlineStr">
        <is>
          <t>Monthly cost INR</t>
        </is>
      </c>
      <c r="G3" s="12" t="inlineStr">
        <is>
          <t>Credits used (Option B/C def.)</t>
        </is>
      </c>
    </row>
    <row r="4">
      <c r="A4" t="inlineStr">
        <is>
          <t>Light</t>
        </is>
      </c>
      <c r="B4">
        <f>Assumptions!B57</f>
        <v/>
      </c>
      <c r="C4">
        <f>Assumptions!C57</f>
        <v/>
      </c>
      <c r="D4">
        <f>Assumptions!D57</f>
        <v/>
      </c>
      <c r="E4" s="14">
        <f>B4*UnitCosts!$B$18+C4*UnitCosts!$B$22+D4*UnitCosts!$B$28+Assumptions!$B$42*UnitCosts!$B$32</f>
        <v/>
      </c>
      <c r="F4" s="16">
        <f>E4*Assumptions!$B$4</f>
        <v/>
      </c>
      <c r="G4">
        <f>B4*Assumptions!$B$63+C4*Assumptions!$B$64+D4*Assumptions!$B$65</f>
        <v/>
      </c>
    </row>
    <row r="5">
      <c r="A5" t="inlineStr">
        <is>
          <t>Typical</t>
        </is>
      </c>
      <c r="B5">
        <f>Assumptions!B58</f>
        <v/>
      </c>
      <c r="C5">
        <f>Assumptions!C58</f>
        <v/>
      </c>
      <c r="D5">
        <f>Assumptions!D58</f>
        <v/>
      </c>
      <c r="E5" s="14">
        <f>B5*UnitCosts!$B$18+C5*UnitCosts!$B$22+D5*UnitCosts!$B$28+Assumptions!$B$42*UnitCosts!$B$32</f>
        <v/>
      </c>
      <c r="F5" s="16">
        <f>E5*Assumptions!$B$4</f>
        <v/>
      </c>
      <c r="G5">
        <f>B5*Assumptions!$B$63+C5*Assumptions!$B$64+D5*Assumptions!$B$65</f>
        <v/>
      </c>
    </row>
    <row r="6">
      <c r="A6" t="inlineStr">
        <is>
          <t>Heavy</t>
        </is>
      </c>
      <c r="B6">
        <f>Assumptions!B59</f>
        <v/>
      </c>
      <c r="C6">
        <f>Assumptions!C59</f>
        <v/>
      </c>
      <c r="D6">
        <f>Assumptions!D59</f>
        <v/>
      </c>
      <c r="E6" s="14">
        <f>B6*UnitCosts!$B$18+C6*UnitCosts!$B$22+D6*UnitCosts!$B$28+Assumptions!$B$42*UnitCosts!$B$32</f>
        <v/>
      </c>
      <c r="F6" s="16">
        <f>E6*Assumptions!$B$4</f>
        <v/>
      </c>
      <c r="G6">
        <f>B6*Assumptions!$B$63+C6*Assumptions!$B$64+D6*Assumptions!$B$65</f>
        <v/>
      </c>
    </row>
    <row r="7">
      <c r="A7" t="inlineStr">
        <is>
          <t>Manager seat (5x Typical)</t>
        </is>
      </c>
      <c r="B7">
        <f>Assumptions!B60</f>
        <v/>
      </c>
      <c r="C7">
        <f>Assumptions!C60</f>
        <v/>
      </c>
      <c r="D7">
        <f>Assumptions!D60</f>
        <v/>
      </c>
      <c r="E7" s="14">
        <f>B7*UnitCosts!$B$18+C7*UnitCosts!$B$22+D7*UnitCosts!$B$28+Assumptions!$B$42*UnitCosts!$B$32</f>
        <v/>
      </c>
      <c r="F7" s="16">
        <f>E7*Assumptions!$B$4</f>
        <v/>
      </c>
      <c r="G7">
        <f>B7*Assumptions!$B$63+C7*Assumptions!$B$64+D7*Assumptions!$B$65</f>
        <v/>
      </c>
    </row>
    <row r="9">
      <c r="A9" s="3" t="inlineStr">
        <is>
          <t>Cap check — current per-creator monthly cap (Assumptions!B49, USD 0.75)</t>
        </is>
      </c>
    </row>
    <row r="10">
      <c r="A10" s="12" t="inlineStr">
        <is>
          <t>Persona</t>
        </is>
      </c>
      <c r="B10" s="12" t="inlineStr">
        <is>
          <t>Monthly $ cost</t>
        </is>
      </c>
      <c r="C10" s="12" t="inlineStr">
        <is>
          <t>% of current cap ($0.75)</t>
        </is>
      </c>
      <c r="D10" s="12" t="inlineStr">
        <is>
          <t>% of raised cap ($2.00, sensitivity)</t>
        </is>
      </c>
    </row>
    <row r="11">
      <c r="A11" t="inlineStr">
        <is>
          <t>Light</t>
        </is>
      </c>
      <c r="B11" s="14">
        <f>E4</f>
        <v/>
      </c>
      <c r="C11" s="9">
        <f>E4/Assumptions!$B$49</f>
        <v/>
      </c>
      <c r="D11" s="9">
        <f>E4/Assumptions!$B$50</f>
        <v/>
      </c>
    </row>
    <row r="12">
      <c r="A12" t="inlineStr">
        <is>
          <t>Typical</t>
        </is>
      </c>
      <c r="B12" s="14">
        <f>E5</f>
        <v/>
      </c>
      <c r="C12" s="9">
        <f>E5/Assumptions!$B$49</f>
        <v/>
      </c>
      <c r="D12" s="9">
        <f>E5/Assumptions!$B$50</f>
        <v/>
      </c>
    </row>
    <row r="13">
      <c r="A13" t="inlineStr">
        <is>
          <t>Heavy</t>
        </is>
      </c>
      <c r="B13" s="14">
        <f>E6</f>
        <v/>
      </c>
      <c r="C13" s="9">
        <f>E6/Assumptions!$B$49</f>
        <v/>
      </c>
      <c r="D13" s="9">
        <f>E6/Assumptions!$B$50</f>
        <v/>
      </c>
    </row>
    <row r="14">
      <c r="A14" t="inlineStr">
        <is>
          <t>Manager seat (5x Typical)</t>
        </is>
      </c>
      <c r="B14" s="14">
        <f>E7</f>
        <v/>
      </c>
      <c r="C14" s="9">
        <f>E7/Assumptions!$B$49</f>
        <v/>
      </c>
      <c r="D14" s="9">
        <f>E7/Assumptions!$B$50</f>
        <v/>
      </c>
    </row>
    <row r="15">
      <c r="A15" s="2" t="inlineStr">
        <is>
          <t>Note: the cap is enforced per-creator. A Manager seat represents 5 creator accounts, each carrying its own USD 0.75 cap (a USD 3.75 pool in aggregate) — the % columns above compare the seat's TOTAL usage to a SINGLE creator's cap purely as a stress-test ruler, not a real gate a manager seat would hit.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26" customWidth="1" min="1" max="1"/>
    <col width="12" customWidth="1" min="2" max="2"/>
    <col width="16" customWidth="1" min="3" max="3"/>
    <col width="18" customWidth="1" min="4" max="4"/>
    <col width="18" customWidth="1" min="5" max="5"/>
    <col width="16" customWidth="1" min="6" max="6"/>
    <col width="16" customWidth="1" min="7" max="7"/>
  </cols>
  <sheetData>
    <row r="1">
      <c r="A1" s="1" t="inlineStr">
        <is>
          <t>Option A — Included in the 15% Platform Fee</t>
        </is>
      </c>
    </row>
    <row r="3">
      <c r="A3" s="3" t="inlineStr">
        <is>
          <t>Platform fee revenue at N deals/month (deal size = Assumptions!B46, fee % = Assumptions!B45)</t>
        </is>
      </c>
    </row>
    <row r="4">
      <c r="A4" s="17" t="inlineStr">
        <is>
          <t>Deals/month</t>
        </is>
      </c>
      <c r="B4" s="17" t="inlineStr">
        <is>
          <t>Fee revenue INR</t>
        </is>
      </c>
    </row>
    <row r="5">
      <c r="A5" t="n">
        <v>1</v>
      </c>
      <c r="B5" s="11">
        <f>1*Assumptions!$B$46*Assumptions!$B$45</f>
        <v/>
      </c>
    </row>
    <row r="6">
      <c r="A6" t="n">
        <v>2</v>
      </c>
      <c r="B6" s="11">
        <f>2*Assumptions!$B$46*Assumptions!$B$45</f>
        <v/>
      </c>
    </row>
    <row r="7">
      <c r="A7" t="n">
        <v>4</v>
      </c>
      <c r="B7" s="11">
        <f>4*Assumptions!$B$46*Assumptions!$B$45</f>
        <v/>
      </c>
    </row>
    <row r="9">
      <c r="A9" s="3" t="inlineStr">
        <is>
          <t>AI cost as a percent of platform fee revenue, by persona and deal count</t>
        </is>
      </c>
    </row>
    <row r="10">
      <c r="A10" s="12" t="inlineStr">
        <is>
          <t>Persona</t>
        </is>
      </c>
      <c r="B10" s="12" t="inlineStr">
        <is>
          <t>Deals/mo</t>
        </is>
      </c>
      <c r="C10" s="12" t="inlineStr">
        <is>
          <t>Fee revenue INR</t>
        </is>
      </c>
      <c r="D10" s="12" t="inlineStr">
        <is>
          <t>AI cost INR</t>
        </is>
      </c>
      <c r="E10" s="12" t="inlineStr">
        <is>
          <t>AI cost as % of fee</t>
        </is>
      </c>
      <c r="F10" s="12" t="inlineStr">
        <is>
          <t>Gross margin INR</t>
        </is>
      </c>
      <c r="G10" s="12" t="inlineStr">
        <is>
          <t>Gross margin %</t>
        </is>
      </c>
    </row>
    <row r="11">
      <c r="A11" t="inlineStr">
        <is>
          <t>Light</t>
        </is>
      </c>
      <c r="B11" t="n">
        <v>1</v>
      </c>
      <c r="C11" s="11">
        <f>B5</f>
        <v/>
      </c>
      <c r="D11" s="11">
        <f>Personas!$F$4</f>
        <v/>
      </c>
      <c r="E11" s="9">
        <f>D11/C11</f>
        <v/>
      </c>
      <c r="F11" s="11">
        <f>C11-D11</f>
        <v/>
      </c>
      <c r="G11" s="9">
        <f>F11/C11</f>
        <v/>
      </c>
    </row>
    <row r="12">
      <c r="A12" t="inlineStr">
        <is>
          <t>Light</t>
        </is>
      </c>
      <c r="B12" t="n">
        <v>2</v>
      </c>
      <c r="C12" s="11">
        <f>B6</f>
        <v/>
      </c>
      <c r="D12" s="11">
        <f>Personas!$F$4</f>
        <v/>
      </c>
      <c r="E12" s="9">
        <f>D12/C12</f>
        <v/>
      </c>
      <c r="F12" s="11">
        <f>C12-D12</f>
        <v/>
      </c>
      <c r="G12" s="9">
        <f>F12/C12</f>
        <v/>
      </c>
    </row>
    <row r="13">
      <c r="A13" t="inlineStr">
        <is>
          <t>Light</t>
        </is>
      </c>
      <c r="B13" t="n">
        <v>4</v>
      </c>
      <c r="C13" s="11">
        <f>B7</f>
        <v/>
      </c>
      <c r="D13" s="11">
        <f>Personas!$F$4</f>
        <v/>
      </c>
      <c r="E13" s="9">
        <f>D13/C13</f>
        <v/>
      </c>
      <c r="F13" s="11">
        <f>C13-D13</f>
        <v/>
      </c>
      <c r="G13" s="9">
        <f>F13/C13</f>
        <v/>
      </c>
    </row>
    <row r="14">
      <c r="A14" t="inlineStr">
        <is>
          <t>Typical</t>
        </is>
      </c>
      <c r="B14" t="n">
        <v>1</v>
      </c>
      <c r="C14" s="11">
        <f>B5</f>
        <v/>
      </c>
      <c r="D14" s="11">
        <f>Personas!$F$5</f>
        <v/>
      </c>
      <c r="E14" s="9">
        <f>D14/C14</f>
        <v/>
      </c>
      <c r="F14" s="11">
        <f>C14-D14</f>
        <v/>
      </c>
      <c r="G14" s="9">
        <f>F14/C14</f>
        <v/>
      </c>
    </row>
    <row r="15">
      <c r="A15" t="inlineStr">
        <is>
          <t>Typical</t>
        </is>
      </c>
      <c r="B15" t="n">
        <v>2</v>
      </c>
      <c r="C15" s="11">
        <f>B6</f>
        <v/>
      </c>
      <c r="D15" s="11">
        <f>Personas!$F$5</f>
        <v/>
      </c>
      <c r="E15" s="9">
        <f>D15/C15</f>
        <v/>
      </c>
      <c r="F15" s="11">
        <f>C15-D15</f>
        <v/>
      </c>
      <c r="G15" s="9">
        <f>F15/C15</f>
        <v/>
      </c>
    </row>
    <row r="16">
      <c r="A16" t="inlineStr">
        <is>
          <t>Typical</t>
        </is>
      </c>
      <c r="B16" t="n">
        <v>4</v>
      </c>
      <c r="C16" s="11">
        <f>B7</f>
        <v/>
      </c>
      <c r="D16" s="11">
        <f>Personas!$F$5</f>
        <v/>
      </c>
      <c r="E16" s="9">
        <f>D16/C16</f>
        <v/>
      </c>
      <c r="F16" s="11">
        <f>C16-D16</f>
        <v/>
      </c>
      <c r="G16" s="9">
        <f>F16/C16</f>
        <v/>
      </c>
    </row>
    <row r="17">
      <c r="A17" t="inlineStr">
        <is>
          <t>Heavy</t>
        </is>
      </c>
      <c r="B17" t="n">
        <v>1</v>
      </c>
      <c r="C17" s="11">
        <f>B5</f>
        <v/>
      </c>
      <c r="D17" s="11">
        <f>Personas!$F$6</f>
        <v/>
      </c>
      <c r="E17" s="9">
        <f>D17/C17</f>
        <v/>
      </c>
      <c r="F17" s="11">
        <f>C17-D17</f>
        <v/>
      </c>
      <c r="G17" s="9">
        <f>F17/C17</f>
        <v/>
      </c>
    </row>
    <row r="18">
      <c r="A18" t="inlineStr">
        <is>
          <t>Heavy</t>
        </is>
      </c>
      <c r="B18" t="n">
        <v>2</v>
      </c>
      <c r="C18" s="11">
        <f>B6</f>
        <v/>
      </c>
      <c r="D18" s="11">
        <f>Personas!$F$6</f>
        <v/>
      </c>
      <c r="E18" s="9">
        <f>D18/C18</f>
        <v/>
      </c>
      <c r="F18" s="11">
        <f>C18-D18</f>
        <v/>
      </c>
      <c r="G18" s="9">
        <f>F18/C18</f>
        <v/>
      </c>
    </row>
    <row r="19">
      <c r="A19" t="inlineStr">
        <is>
          <t>Heavy</t>
        </is>
      </c>
      <c r="B19" t="n">
        <v>4</v>
      </c>
      <c r="C19" s="11">
        <f>B7</f>
        <v/>
      </c>
      <c r="D19" s="11">
        <f>Personas!$F$6</f>
        <v/>
      </c>
      <c r="E19" s="9">
        <f>D19/C19</f>
        <v/>
      </c>
      <c r="F19" s="11">
        <f>C19-D19</f>
        <v/>
      </c>
      <c r="G19" s="9">
        <f>F19/C19</f>
        <v/>
      </c>
    </row>
    <row r="21">
      <c r="A21" s="2" t="inlineStr">
        <is>
          <t>Reading this table: at 1 deal/month, AI cost eats the largest share of the fee; at 4 deals/month it is nearly noise. A Light creator on Option A is essentially free to serve at any deal cadence; a Heavy creator at only 1 deal/month gives up a visible slice of that single fee to AI cost.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42" customWidth="1" min="1" max="1"/>
    <col width="16" customWidth="1" min="2" max="2"/>
    <col width="16" customWidth="1" min="3" max="3"/>
    <col width="18" customWidth="1" min="4" max="4"/>
    <col width="16" customWidth="1" min="5" max="5"/>
    <col width="14" customWidth="1" min="6" max="6"/>
  </cols>
  <sheetData>
    <row r="1">
      <c r="A1" s="1" t="inlineStr">
        <is>
          <t>Option B — Creator Subscription with AI Credits</t>
        </is>
      </c>
    </row>
    <row r="3">
      <c r="A3" s="3" t="inlineStr">
        <is>
          <t>Credits needed per persona (1 turn = 1 credit, 1 brief = 3 credits, 1 voice = 2 credits, digest free)</t>
        </is>
      </c>
    </row>
    <row r="4">
      <c r="A4" s="17" t="inlineStr">
        <is>
          <t>Persona</t>
        </is>
      </c>
      <c r="B4" s="17" t="inlineStr">
        <is>
          <t>Credits/month needed</t>
        </is>
      </c>
    </row>
    <row r="5">
      <c r="A5" t="inlineStr">
        <is>
          <t>Light</t>
        </is>
      </c>
      <c r="B5">
        <f>Personas!G4</f>
        <v/>
      </c>
    </row>
    <row r="6">
      <c r="A6" t="inlineStr">
        <is>
          <t>Typical</t>
        </is>
      </c>
      <c r="B6">
        <f>Personas!G5</f>
        <v/>
      </c>
    </row>
    <row r="7">
      <c r="A7" t="inlineStr">
        <is>
          <t>Heavy</t>
        </is>
      </c>
      <c r="B7">
        <f>Personas!G6</f>
        <v/>
      </c>
    </row>
    <row r="9">
      <c r="A9" s="3" t="inlineStr">
        <is>
          <t>Blended cost per credit (Typical usage mix — turns + briefs + voice only; digest excluded, it is free/not a credit line)</t>
        </is>
      </c>
    </row>
    <row r="10">
      <c r="A10" t="inlineStr">
        <is>
          <t>Typical persona AI cost $ (turns+briefs+voice only)</t>
        </is>
      </c>
      <c r="B10" s="14">
        <f>Assumptions!B58*UnitCosts!$B$18+Assumptions!C58*UnitCosts!$B$22+Assumptions!D58*UnitCosts!$B$28</f>
        <v/>
      </c>
    </row>
    <row r="11">
      <c r="A11" t="inlineStr">
        <is>
          <t>Typical credits (excl. digest — digest is already 0 credits)</t>
        </is>
      </c>
      <c r="B11">
        <f>B5</f>
        <v/>
      </c>
    </row>
    <row r="12">
      <c r="A12" t="inlineStr">
        <is>
          <t>Blended cost per credit, $</t>
        </is>
      </c>
      <c r="B12" s="18">
        <f>B10/B11</f>
        <v/>
      </c>
    </row>
    <row r="13">
      <c r="A13" t="inlineStr">
        <is>
          <t>Blended cost per credit, INR</t>
        </is>
      </c>
      <c r="B13" s="19">
        <f>B12*Assumptions!$B$4</f>
        <v/>
      </c>
    </row>
    <row r="15">
      <c r="A15" s="2" t="inlineStr">
        <is>
          <t>Caution: this blended rate hides a wide spread by credit TYPE — a turn credit costs about 6-7x a brief credit, and a voice credit costs about 7x a turn credit (see UnitCosts). A flat credit price under-charges voice-heavy creators and over-charges brief-only ones. Fine for a v1 sheet; revisit if voice usage concentrates in a few accounts.</t>
        </is>
      </c>
    </row>
    <row r="17">
      <c r="A17" s="3" t="inlineStr">
        <is>
          <t>Subscription tiers</t>
        </is>
      </c>
    </row>
    <row r="18">
      <c r="A18" s="12" t="inlineStr">
        <is>
          <t>Tier</t>
        </is>
      </c>
      <c r="B18" s="12" t="inlineStr">
        <is>
          <t>Price INR/mo</t>
        </is>
      </c>
      <c r="C18" s="12" t="inlineStr">
        <is>
          <t>Included credits</t>
        </is>
      </c>
      <c r="D18" s="12" t="inlineStr">
        <is>
          <t>Cost to serve INR (blended)</t>
        </is>
      </c>
      <c r="E18" s="12" t="inlineStr">
        <is>
          <t>Gross margin INR</t>
        </is>
      </c>
      <c r="F18" s="12" t="inlineStr">
        <is>
          <t>Gross margin %</t>
        </is>
      </c>
    </row>
    <row r="19">
      <c r="A19">
        <f>Assumptions!A70</f>
        <v/>
      </c>
      <c r="B19" s="11">
        <f>Assumptions!B70</f>
        <v/>
      </c>
      <c r="C19">
        <f>Assumptions!C70</f>
        <v/>
      </c>
      <c r="D19" s="11">
        <f>C19*$B$13</f>
        <v/>
      </c>
      <c r="E19" s="11">
        <f>B19-D19</f>
        <v/>
      </c>
      <c r="F19" s="9">
        <f>E19/B19</f>
        <v/>
      </c>
    </row>
    <row r="20">
      <c r="A20">
        <f>Assumptions!A71</f>
        <v/>
      </c>
      <c r="B20" s="11">
        <f>Assumptions!B71</f>
        <v/>
      </c>
      <c r="C20">
        <f>Assumptions!C71</f>
        <v/>
      </c>
      <c r="D20" s="11">
        <f>C20*$B$13</f>
        <v/>
      </c>
      <c r="E20" s="11">
        <f>B20-D20</f>
        <v/>
      </c>
      <c r="F20" s="9">
        <f>E20/B20</f>
        <v/>
      </c>
    </row>
    <row r="21">
      <c r="A21">
        <f>Assumptions!A72</f>
        <v/>
      </c>
      <c r="B21" s="11">
        <f>Assumptions!B72</f>
        <v/>
      </c>
      <c r="C21">
        <f>Assumptions!C72</f>
        <v/>
      </c>
      <c r="D21" s="11">
        <f>C21*$B$13</f>
        <v/>
      </c>
      <c r="E21" s="11">
        <f>B21-D21</f>
        <v/>
      </c>
      <c r="F21" s="9">
        <f>E21/B21</f>
        <v/>
      </c>
    </row>
    <row r="23">
      <c r="A23" s="3" t="inlineStr">
        <is>
          <t>Headroom: included credits vs. persona need</t>
        </is>
      </c>
    </row>
    <row r="24">
      <c r="A24" s="12" t="inlineStr">
        <is>
          <t>Persona</t>
        </is>
      </c>
      <c r="B24" s="12" t="inlineStr">
        <is>
          <t>Credits needed</t>
        </is>
      </c>
      <c r="C24" s="12" t="inlineStr">
        <is>
          <t>Matched tier</t>
        </is>
      </c>
      <c r="D24" s="12" t="inlineStr">
        <is>
          <t>Tier included credits</t>
        </is>
      </c>
      <c r="E24" s="12" t="inlineStr">
        <is>
          <t>Headroom (credits)</t>
        </is>
      </c>
    </row>
    <row r="25">
      <c r="A25" t="inlineStr">
        <is>
          <t>Light</t>
        </is>
      </c>
      <c r="B25">
        <f>B5</f>
        <v/>
      </c>
      <c r="C25" t="inlineStr">
        <is>
          <t>Starter</t>
        </is>
      </c>
      <c r="D25">
        <f>C19</f>
        <v/>
      </c>
      <c r="E25">
        <f>D25-B25</f>
        <v/>
      </c>
    </row>
    <row r="26">
      <c r="A26" t="inlineStr">
        <is>
          <t>Typical</t>
        </is>
      </c>
      <c r="B26">
        <f>B6</f>
        <v/>
      </c>
      <c r="C26" t="inlineStr">
        <is>
          <t>Pro</t>
        </is>
      </c>
      <c r="D26">
        <f>C20</f>
        <v/>
      </c>
      <c r="E26">
        <f>D26-B26</f>
        <v/>
      </c>
    </row>
    <row r="27">
      <c r="A27" t="inlineStr">
        <is>
          <t>Heavy</t>
        </is>
      </c>
      <c r="B27">
        <f>B7</f>
        <v/>
      </c>
      <c r="C27" t="inlineStr">
        <is>
          <t>Max</t>
        </is>
      </c>
      <c r="D27">
        <f>C21</f>
        <v/>
      </c>
      <c r="E27">
        <f>D27-B27</f>
        <v/>
      </c>
    </row>
    <row r="29">
      <c r="A29" s="3" t="inlineStr">
        <is>
          <t>Top-up pack economics</t>
        </is>
      </c>
    </row>
    <row r="30">
      <c r="A30" t="inlineStr">
        <is>
          <t>Pack size (credits)</t>
        </is>
      </c>
      <c r="B30">
        <f>Assumptions!B74</f>
        <v/>
      </c>
    </row>
    <row r="31">
      <c r="A31" t="inlineStr">
        <is>
          <t>Pack price (INR)</t>
        </is>
      </c>
      <c r="B31" s="11">
        <f>Assumptions!B75</f>
        <v/>
      </c>
    </row>
    <row r="32">
      <c r="A32" t="inlineStr">
        <is>
          <t>Cost to serve pack, INR (blended)</t>
        </is>
      </c>
      <c r="B32" s="11">
        <f>B30*$B$13</f>
        <v/>
      </c>
    </row>
    <row r="33">
      <c r="A33" t="inlineStr">
        <is>
          <t>Margin, INR</t>
        </is>
      </c>
      <c r="B33" s="11">
        <f>B31-B32</f>
        <v/>
      </c>
    </row>
    <row r="34">
      <c r="A34" t="inlineStr">
        <is>
          <t>Margin, %</t>
        </is>
      </c>
      <c r="B34" s="9">
        <f>B33/B31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8" customWidth="1" min="5" max="5"/>
  </cols>
  <sheetData>
    <row r="1">
      <c r="A1" s="1" t="inlineStr">
        <is>
          <t>Option C — Hybrid: Included Baseline + Paid Top-ups + Manager Seat</t>
        </is>
      </c>
    </row>
    <row r="3">
      <c r="A3" t="inlineStr">
        <is>
          <t>Included FREE credits / creator / month</t>
        </is>
      </c>
      <c r="B3">
        <f>Assumptions!B78</f>
        <v/>
      </c>
    </row>
    <row r="4">
      <c r="A4" t="inlineStr">
        <is>
          <t>Cost to serve included credits, INR (blended rate from OptionB!B13)</t>
        </is>
      </c>
      <c r="B4" s="11">
        <f>B3*OptionB!$B$13</f>
        <v/>
      </c>
    </row>
    <row r="5">
      <c r="A5" t="inlineStr">
        <is>
          <t>Cost to serve included credits, USD</t>
        </is>
      </c>
      <c r="B5" s="14">
        <f>B4/Assumptions!$B$4</f>
        <v/>
      </c>
    </row>
    <row r="7">
      <c r="A7" s="3" t="inlineStr">
        <is>
          <t>Credits beyond the free tier, by persona, and top-up cost</t>
        </is>
      </c>
    </row>
    <row r="8">
      <c r="A8" s="12" t="inlineStr">
        <is>
          <t>Persona</t>
        </is>
      </c>
      <c r="B8" s="12" t="inlineStr">
        <is>
          <t>Credits needed</t>
        </is>
      </c>
      <c r="C8" s="12" t="inlineStr">
        <is>
          <t>Free credits</t>
        </is>
      </c>
      <c r="D8" s="12" t="inlineStr">
        <is>
          <t>Credits to purchase</t>
        </is>
      </c>
      <c r="E8" s="12" t="inlineStr">
        <is>
          <t>Top-up cost INR</t>
        </is>
      </c>
    </row>
    <row r="9">
      <c r="A9" t="inlineStr">
        <is>
          <t>Light</t>
        </is>
      </c>
      <c r="B9">
        <f>OptionB!B5</f>
        <v/>
      </c>
      <c r="C9">
        <f>$B$3</f>
        <v/>
      </c>
      <c r="D9">
        <f>MAX(0,B9-C9)</f>
        <v/>
      </c>
      <c r="E9" s="11">
        <f>D9*(Assumptions!$B$75/Assumptions!$B$74)</f>
        <v/>
      </c>
    </row>
    <row r="10">
      <c r="A10" t="inlineStr">
        <is>
          <t>Typical</t>
        </is>
      </c>
      <c r="B10">
        <f>OptionB!B6</f>
        <v/>
      </c>
      <c r="C10">
        <f>$B$3</f>
        <v/>
      </c>
      <c r="D10">
        <f>MAX(0,B10-C10)</f>
        <v/>
      </c>
      <c r="E10" s="11">
        <f>D10*(Assumptions!$B$75/Assumptions!$B$74)</f>
        <v/>
      </c>
    </row>
    <row r="11">
      <c r="A11" t="inlineStr">
        <is>
          <t>Heavy</t>
        </is>
      </c>
      <c r="B11">
        <f>OptionB!B7</f>
        <v/>
      </c>
      <c r="C11">
        <f>$B$3</f>
        <v/>
      </c>
      <c r="D11">
        <f>MAX(0,B11-C11)</f>
        <v/>
      </c>
      <c r="E11" s="11">
        <f>D11*(Assumptions!$B$75/Assumptions!$B$74)</f>
        <v/>
      </c>
    </row>
    <row r="13">
      <c r="A13" s="3" t="inlineStr">
        <is>
          <t>Manager seat (up to 5 creators)</t>
        </is>
      </c>
    </row>
    <row r="14">
      <c r="A14" t="inlineStr">
        <is>
          <t>Manager seat price, INR/month</t>
        </is>
      </c>
      <c r="B14" s="11">
        <f>Assumptions!B79</f>
        <v/>
      </c>
    </row>
    <row r="15">
      <c r="A15" t="inlineStr">
        <is>
          <t>Cost to serve 5 Typical creators, full usage, INR</t>
        </is>
      </c>
      <c r="B15" s="11">
        <f>Personas!F7</f>
        <v/>
      </c>
    </row>
    <row r="16">
      <c r="A16" t="inlineStr">
        <is>
          <t>Margin, INR</t>
        </is>
      </c>
      <c r="B16" s="11">
        <f>B14-B15</f>
        <v/>
      </c>
    </row>
    <row r="17">
      <c r="A17" t="inlineStr">
        <is>
          <t>Margin, %</t>
        </is>
      </c>
      <c r="B17" s="9">
        <f>B16/B14</f>
        <v/>
      </c>
    </row>
    <row r="19">
      <c r="A19" s="3" t="inlineStr">
        <is>
          <t>Net monthly AI-credit economics per creator (absorbed free cost vs. top-up margin; excludes platform fee revenue)</t>
        </is>
      </c>
    </row>
    <row r="20">
      <c r="A20" s="12" t="inlineStr">
        <is>
          <t>Persona</t>
        </is>
      </c>
      <c r="B20" s="12" t="inlineStr">
        <is>
          <t>Absorbed cost INR (free credits used)</t>
        </is>
      </c>
      <c r="C20" s="12" t="inlineStr">
        <is>
          <t>Top-up revenue INR</t>
        </is>
      </c>
      <c r="D20" s="12" t="inlineStr">
        <is>
          <t>Top-up cost INR</t>
        </is>
      </c>
      <c r="E20" s="12" t="inlineStr">
        <is>
          <t>Net INR (revenue - all cost)</t>
        </is>
      </c>
    </row>
    <row r="21">
      <c r="A21" t="inlineStr">
        <is>
          <t>Light</t>
        </is>
      </c>
      <c r="B21" s="11">
        <f>MIN(B9,C9)*OptionB!$B$13</f>
        <v/>
      </c>
      <c r="C21" s="11">
        <f>E9</f>
        <v/>
      </c>
      <c r="D21" s="11">
        <f>D9*OptionB!$B$13</f>
        <v/>
      </c>
      <c r="E21" s="11">
        <f>C21-B21-D21</f>
        <v/>
      </c>
    </row>
    <row r="22">
      <c r="A22" t="inlineStr">
        <is>
          <t>Typical</t>
        </is>
      </c>
      <c r="B22" s="11">
        <f>MIN(B10,C10)*OptionB!$B$13</f>
        <v/>
      </c>
      <c r="C22" s="11">
        <f>E10</f>
        <v/>
      </c>
      <c r="D22" s="11">
        <f>D10*OptionB!$B$13</f>
        <v/>
      </c>
      <c r="E22" s="11">
        <f>C22-B22-D22</f>
        <v/>
      </c>
    </row>
    <row r="23">
      <c r="A23" t="inlineStr">
        <is>
          <t>Heavy</t>
        </is>
      </c>
      <c r="B23" s="11">
        <f>MIN(B11,C11)*OptionB!$B$13</f>
        <v/>
      </c>
      <c r="C23" s="11">
        <f>E11</f>
        <v/>
      </c>
      <c r="D23" s="11">
        <f>D11*OptionB!$B$13</f>
        <v/>
      </c>
      <c r="E23" s="11">
        <f>C23-B23-D23</f>
        <v/>
      </c>
    </row>
    <row r="25">
      <c r="A25" s="2" t="inlineStr">
        <is>
          <t>Light creators cost Sage the full absorbed amount with zero offsetting revenue (their usage never crosses the free 40 credits). Typical and Heavy creators cross into paid top-ups, which carry their own healthy margin (see OptionB top-up economics) and more than offset the absorbed baseline cost for that creator.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58" customWidth="1" min="1" max="1"/>
    <col width="18" customWidth="1" min="2" max="2"/>
  </cols>
  <sheetData>
    <row r="1">
      <c r="A1" s="1" t="inlineStr">
        <is>
          <t>Break-even and Sensitivity</t>
        </is>
      </c>
    </row>
    <row r="3">
      <c r="A3" s="3" t="inlineStr">
        <is>
          <t>Scenario 1 — cache hit rate drops to 30% (baseline 70%)</t>
        </is>
      </c>
    </row>
    <row r="4">
      <c r="A4" t="inlineStr">
        <is>
          <t>Reduced cache hit rate</t>
        </is>
      </c>
      <c r="B4" s="9">
        <f>Assumptions!B82</f>
        <v/>
      </c>
    </row>
    <row r="5">
      <c r="A5" t="inlineStr">
        <is>
          <t>Blended cache rate $/token (reduced)</t>
        </is>
      </c>
      <c r="B5">
        <f>B4*UnitCosts!$D$5+(1-B4)*UnitCosts!$E$5</f>
        <v/>
      </c>
    </row>
    <row r="6">
      <c r="A6" t="inlineStr">
        <is>
          <t>Cacheable-tokens cost $ (reduced)</t>
        </is>
      </c>
      <c r="B6" s="14">
        <f>UnitCosts!$B$9*B5</f>
        <v/>
      </c>
    </row>
    <row r="7">
      <c r="A7" t="inlineStr">
        <is>
          <t>Base turn cost $ (reduced)</t>
        </is>
      </c>
      <c r="B7" s="14">
        <f>B6+UnitCosts!$B$13+UnitCosts!$B$14</f>
        <v/>
      </c>
    </row>
    <row r="8">
      <c r="A8" t="inlineStr">
        <is>
          <t>Cost per turn $ (reduced, incl. expected tool cost)</t>
        </is>
      </c>
      <c r="B8" s="14">
        <f>B7+UnitCosts!$B$17</f>
        <v/>
      </c>
    </row>
    <row r="9">
      <c r="A9" t="inlineStr">
        <is>
          <t>Cost per turn, INR (reduced)</t>
        </is>
      </c>
      <c r="B9" s="11">
        <f>B8*Assumptions!$B$4</f>
        <v/>
      </c>
    </row>
    <row r="10">
      <c r="A10" t="inlineStr">
        <is>
          <t>Increase vs. baseline cost/turn</t>
        </is>
      </c>
      <c r="B10" s="9">
        <f>B8/UnitCosts!$B$18-1</f>
        <v/>
      </c>
    </row>
    <row r="12">
      <c r="A12" t="inlineStr">
        <is>
          <t>Typical persona monthly cost under reduced cache hit rate</t>
        </is>
      </c>
    </row>
    <row r="13">
      <c r="A13" t="inlineStr">
        <is>
          <t>$</t>
        </is>
      </c>
      <c r="B13" s="14">
        <f>Assumptions!B58*B8+Assumptions!C58*UnitCosts!$B$22+Assumptions!D58*UnitCosts!$B$28+Assumptions!$B$42*UnitCosts!$B$32</f>
        <v/>
      </c>
    </row>
    <row r="14">
      <c r="A14" t="inlineStr">
        <is>
          <t>INR</t>
        </is>
      </c>
      <c r="B14" s="11">
        <f>B13*Assumptions!$B$4</f>
        <v/>
      </c>
    </row>
    <row r="15">
      <c r="A15" t="inlineStr">
        <is>
          <t>% of current cap ($0.75)</t>
        </is>
      </c>
      <c r="B15" s="9">
        <f>B13/Assumptions!$B$49</f>
        <v/>
      </c>
    </row>
    <row r="17">
      <c r="A17" t="inlineStr">
        <is>
          <t>Heavy persona monthly cost under reduced cache hit rate</t>
        </is>
      </c>
    </row>
    <row r="18">
      <c r="A18" t="inlineStr">
        <is>
          <t>$</t>
        </is>
      </c>
      <c r="B18" s="14">
        <f>Assumptions!B59*B8+Assumptions!C59*UnitCosts!$B$22+Assumptions!D59*UnitCosts!$B$28+Assumptions!$B$42*UnitCosts!$B$32</f>
        <v/>
      </c>
    </row>
    <row r="19">
      <c r="A19" t="inlineStr">
        <is>
          <t>INR</t>
        </is>
      </c>
      <c r="B19" s="11">
        <f>B18*Assumptions!$B$4</f>
        <v/>
      </c>
    </row>
    <row r="20">
      <c r="A20" t="inlineStr">
        <is>
          <t>% of current cap ($0.75)</t>
        </is>
      </c>
      <c r="B20" s="9">
        <f>B18/Assumptions!$B$49</f>
        <v/>
      </c>
    </row>
    <row r="21">
      <c r="A21" t="inlineStr">
        <is>
          <t>% of raised cap ($2.00)</t>
        </is>
      </c>
      <c r="B21" s="9">
        <f>B18/Assumptions!$B$50</f>
        <v/>
      </c>
    </row>
    <row r="23">
      <c r="A23" s="3" t="inlineStr">
        <is>
          <t>Scenario 2 — Sonnet used for brief extraction instead of Haiku</t>
        </is>
      </c>
    </row>
    <row r="24">
      <c r="A24" t="inlineStr">
        <is>
          <t>Cost per extraction $ (Sonnet)</t>
        </is>
      </c>
      <c r="B24" s="14">
        <f>Assumptions!B32*UnitCosts!$B$5+Assumptions!B33*UnitCosts!$C$5</f>
        <v/>
      </c>
    </row>
    <row r="25">
      <c r="A25" t="inlineStr">
        <is>
          <t>Cost per extraction, INR (Sonnet)</t>
        </is>
      </c>
      <c r="B25" s="11">
        <f>B24*Assumptions!$B$4</f>
        <v/>
      </c>
    </row>
    <row r="26">
      <c r="A26" t="inlineStr">
        <is>
          <t>Multiple of Haiku baseline cost</t>
        </is>
      </c>
      <c r="B26" s="20">
        <f>B24/UnitCosts!$B$22</f>
        <v/>
      </c>
    </row>
    <row r="28">
      <c r="A28" t="inlineStr">
        <is>
          <t>Typical persona monthly cost with Sonnet extraction</t>
        </is>
      </c>
    </row>
    <row r="29">
      <c r="A29" t="inlineStr">
        <is>
          <t>$</t>
        </is>
      </c>
      <c r="B29" s="14">
        <f>Assumptions!B58*UnitCosts!$B$18+Assumptions!C58*B24+Assumptions!D58*UnitCosts!$B$28+Assumptions!$B$42*UnitCosts!$B$32</f>
        <v/>
      </c>
    </row>
    <row r="30">
      <c r="A30" t="inlineStr">
        <is>
          <t>INR</t>
        </is>
      </c>
      <c r="B30" s="11">
        <f>B29*Assumptions!$B$4</f>
        <v/>
      </c>
    </row>
    <row r="31">
      <c r="A31" t="inlineStr">
        <is>
          <t>% of current cap ($0.75)</t>
        </is>
      </c>
      <c r="B31" s="9">
        <f>B29/Assumptions!$B$49</f>
        <v/>
      </c>
    </row>
    <row r="33">
      <c r="A33" t="inlineStr">
        <is>
          <t>Heavy persona monthly cost with Sonnet extraction</t>
        </is>
      </c>
    </row>
    <row r="34">
      <c r="A34" t="inlineStr">
        <is>
          <t>$</t>
        </is>
      </c>
      <c r="B34" s="14">
        <f>Assumptions!B59*UnitCosts!$B$18+Assumptions!C59*B24+Assumptions!D59*UnitCosts!$B$28+Assumptions!$B$42*UnitCosts!$B$32</f>
        <v/>
      </c>
    </row>
    <row r="35">
      <c r="A35" t="inlineStr">
        <is>
          <t>INR</t>
        </is>
      </c>
      <c r="B35" s="11">
        <f>B34*Assumptions!$B$4</f>
        <v/>
      </c>
    </row>
    <row r="36">
      <c r="A36" t="inlineStr">
        <is>
          <t>% of current cap ($0.75)</t>
        </is>
      </c>
      <c r="B36" s="9">
        <f>B34/Assumptions!$B$49</f>
        <v/>
      </c>
    </row>
    <row r="38">
      <c r="A38" s="3" t="inlineStr">
        <is>
          <t>Scenario 3 — per-creator cap raised from $0.75 to $2.00</t>
        </is>
      </c>
    </row>
    <row r="39">
      <c r="A39" t="inlineStr">
        <is>
          <t>Typical persona baseline monthly $ / raised cap</t>
        </is>
      </c>
      <c r="B39" s="9">
        <f>Personas!E5/Assumptions!$B$50</f>
        <v/>
      </c>
    </row>
    <row r="40">
      <c r="A40" t="inlineStr">
        <is>
          <t>Heavy persona baseline monthly $ / raised cap</t>
        </is>
      </c>
      <c r="B40" s="9">
        <f>Personas!E6/Assumptions!$B$50</f>
        <v/>
      </c>
    </row>
    <row r="42">
      <c r="A42" s="3" t="inlineStr">
        <is>
          <t>Combined worst case — Heavy persona, 30% cache hit AND Sonnet extraction</t>
        </is>
      </c>
    </row>
    <row r="43">
      <c r="A43" t="inlineStr">
        <is>
          <t>$</t>
        </is>
      </c>
      <c r="B43" s="14">
        <f>Assumptions!B59*B8+Assumptions!D59*UnitCosts!$B$28+Assumptions!C59*B24+Assumptions!$B$42*UnitCosts!$B$32</f>
        <v/>
      </c>
    </row>
    <row r="44">
      <c r="A44" t="inlineStr">
        <is>
          <t>INR</t>
        </is>
      </c>
      <c r="B44" s="11">
        <f>B43*Assumptions!$B$4</f>
        <v/>
      </c>
    </row>
    <row r="45">
      <c r="A45" t="inlineStr">
        <is>
          <t>% of current cap ($0.75)</t>
        </is>
      </c>
      <c r="B45" s="9">
        <f>B43/Assumptions!$B$49</f>
        <v/>
      </c>
    </row>
    <row r="46">
      <c r="A46" t="inlineStr">
        <is>
          <t>% of raised cap ($2.00)</t>
        </is>
      </c>
      <c r="B46" s="21">
        <f>B43/Assumptions!$B$50</f>
        <v/>
      </c>
    </row>
    <row r="48">
      <c r="A48" s="22" t="inlineStr">
        <is>
          <t>Reading this sheet: degraded caching alone pushes a Typical creator over the current $0.75 cap and a Heavy creator to roughly 3x it. Switching brief extraction to Sonnet triples that one line item on its own. Combined (worst case), a Heavy creator would exceed even a cap RAISED to $2.00 — the cap, not just the price sheet, needs a second look if usage skews heavy or caching underperforms in production.</t>
        </is>
      </c>
    </row>
    <row r="50">
      <c r="A50" s="3" t="inlineStr">
        <is>
          <t>GST note (18% on a subscription charged to an Indian creator)</t>
        </is>
      </c>
    </row>
    <row r="51">
      <c r="A51" s="12" t="inlineStr">
        <is>
          <t>Tier</t>
        </is>
      </c>
      <c r="B51" s="12" t="inlineStr">
        <is>
          <t>List price (INR)</t>
        </is>
      </c>
      <c r="C51" s="12" t="inlineStr">
        <is>
          <t>If price is GST-INCLUSIVE: base price</t>
        </is>
      </c>
      <c r="D51" s="12" t="inlineStr">
        <is>
          <t>...GST portion</t>
        </is>
      </c>
      <c r="E51" s="12" t="inlineStr">
        <is>
          <t>If price is GST-EXCLUSIVE: customer pays</t>
        </is>
      </c>
    </row>
    <row r="52">
      <c r="A52" t="inlineStr">
        <is>
          <t>Starter</t>
        </is>
      </c>
      <c r="B52" s="11">
        <f>Assumptions!B70</f>
        <v/>
      </c>
      <c r="C52" s="11">
        <f>B52/(1+Assumptions!$B$53)</f>
        <v/>
      </c>
      <c r="D52" s="11">
        <f>B52-C52</f>
        <v/>
      </c>
      <c r="E52" s="11">
        <f>B52*(1+Assumptions!$B$53)</f>
        <v/>
      </c>
    </row>
    <row r="53">
      <c r="A53" t="inlineStr">
        <is>
          <t>Pro</t>
        </is>
      </c>
      <c r="B53" s="11">
        <f>Assumptions!B71</f>
        <v/>
      </c>
      <c r="C53" s="11">
        <f>B53/(1+Assumptions!$B$53)</f>
        <v/>
      </c>
      <c r="D53" s="11">
        <f>B53-C53</f>
        <v/>
      </c>
      <c r="E53" s="11">
        <f>B53*(1+Assumptions!$B$53)</f>
        <v/>
      </c>
    </row>
    <row r="54">
      <c r="A54" t="inlineStr">
        <is>
          <t>Max</t>
        </is>
      </c>
      <c r="B54" s="11">
        <f>Assumptions!B72</f>
        <v/>
      </c>
      <c r="C54" s="11">
        <f>B54/(1+Assumptions!$B$53)</f>
        <v/>
      </c>
      <c r="D54" s="11">
        <f>B54-C54</f>
        <v/>
      </c>
      <c r="E54" s="11">
        <f>B54*(1+Assumptions!$B$53)</f>
        <v/>
      </c>
    </row>
    <row r="55">
      <c r="A55" t="inlineStr">
        <is>
          <t>Manager seat</t>
        </is>
      </c>
      <c r="B55" s="11">
        <f>Assumptions!B79</f>
        <v/>
      </c>
      <c r="C55" s="11">
        <f>B55/(1+Assumptions!$B$53)</f>
        <v/>
      </c>
      <c r="D55" s="11">
        <f>B55-C55</f>
        <v/>
      </c>
      <c r="E55" s="11">
        <f>B55*(1+Assumptions!$B$53)</f>
        <v/>
      </c>
    </row>
    <row r="57">
      <c r="A57" s="2" t="inlineStr">
        <is>
          <t>Recommendation: display INCLUSIVE prices (299/599/999/1999) to Indian consumers — standard B2C practice, no checkout surprise. GST registration/filing mechanics for AI-credit subscriptions are a compliance question for Swapnil + counsel, not a CFO ruling; flagged, not decided, here.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sheetData>
    <row r="1">
      <c r="A1" s="17" t="inlineStr">
        <is>
          <t>Plan999 - Rs 999/mo creator plan (100 credits + 5 discovery searches + 100 outreach emails w/ follow-ups)</t>
        </is>
      </c>
    </row>
    <row r="2">
      <c r="A2" t="inlineStr">
        <is>
          <t>Recomputed 2026-09-04 by Rohan (CFO). Every cell below is a formula off Assumptions/UnitCosts - nothing here is pasted.</t>
        </is>
      </c>
    </row>
    <row r="4">
      <c r="A4" s="17" t="inlineStr">
        <is>
          <t>1. Discovery run - recomputed unit cost</t>
        </is>
      </c>
    </row>
    <row r="5">
      <c r="A5" t="inlineStr">
        <is>
          <t>Perplexity cost per call, $ (tokens + per-request fee)</t>
        </is>
      </c>
      <c r="B5" s="14">
        <f>(Assumptions!B102*Assumptions!B93+Assumptions!B103*Assumptions!B94)/1000000+Assumptions!B95/1000</f>
        <v/>
      </c>
    </row>
    <row r="6">
      <c r="A6" t="inlineStr">
        <is>
          <t>First-stage calls (low..high)</t>
        </is>
      </c>
      <c r="B6">
        <f>Assumptions!B98</f>
        <v/>
      </c>
      <c r="C6">
        <f>Assumptions!B99</f>
        <v/>
      </c>
    </row>
    <row r="7">
      <c r="A7" t="inlineStr">
        <is>
          <t>Second-stage contact calls (top5 x 2)</t>
        </is>
      </c>
      <c r="B7">
        <f>Assumptions!B100*Assumptions!B101</f>
        <v/>
      </c>
    </row>
    <row r="8">
      <c r="A8" t="inlineStr">
        <is>
          <t>Total Perplexity calls (low..high)</t>
        </is>
      </c>
      <c r="B8">
        <f>B6+B7</f>
        <v/>
      </c>
      <c r="C8">
        <f>C6+B7</f>
        <v/>
      </c>
    </row>
    <row r="9">
      <c r="A9" t="inlineStr">
        <is>
          <t>Perplexity cost, $ (low..high)</t>
        </is>
      </c>
      <c r="B9" s="14">
        <f>B8*B5</f>
        <v/>
      </c>
      <c r="C9" s="14">
        <f>C8*B5</f>
        <v/>
      </c>
    </row>
    <row r="10">
      <c r="A10" t="inlineStr">
        <is>
          <t>Gemini classify cost per site, $</t>
        </is>
      </c>
      <c r="B10" s="14">
        <f>(Assumptions!B105*Assumptions!B89+Assumptions!B106*Assumptions!B90)/1000000</f>
        <v/>
      </c>
    </row>
    <row r="11">
      <c r="A11" t="inlineStr">
        <is>
          <t>Site verifications (capped)</t>
        </is>
      </c>
      <c r="B11">
        <f>Assumptions!B104</f>
        <v/>
      </c>
    </row>
    <row r="12">
      <c r="A12" t="inlineStr">
        <is>
          <t>Gemini total cost, $</t>
        </is>
      </c>
      <c r="B12" s="14">
        <f>B10*B11</f>
        <v/>
      </c>
    </row>
    <row r="13">
      <c r="A13" t="inlineStr">
        <is>
          <t>Claude fit-scoring cost, $ (one Sonnet call)</t>
        </is>
      </c>
      <c r="B13" s="14">
        <f>Assumptions!B107*UnitCosts!B5+Assumptions!B108*UnitCosts!C5</f>
        <v/>
      </c>
    </row>
    <row r="14">
      <c r="A14" t="inlineStr">
        <is>
          <t>Discovery run total, $ (low..high)</t>
        </is>
      </c>
      <c r="B14" s="14">
        <f>B9+B12+B13</f>
        <v/>
      </c>
      <c r="C14" s="14">
        <f>C9+B12+B13</f>
        <v/>
      </c>
    </row>
    <row r="15">
      <c r="A15" s="17" t="inlineStr">
        <is>
          <t>Discovery run total, INR (low..high)</t>
        </is>
      </c>
      <c r="B15" s="23">
        <f>B14*Assumptions!$B$4</f>
        <v/>
      </c>
      <c r="C15" s="23">
        <f>C14*Assumptions!$B$4</f>
        <v/>
      </c>
    </row>
    <row r="16">
      <c r="A16" s="17" t="inlineStr">
        <is>
          <t>Discovery run total, INR (midpoint, used elsewhere on this sheet)</t>
        </is>
      </c>
      <c r="B16" s="23">
        <f>AVERAGE(B15,C15)</f>
        <v/>
      </c>
    </row>
    <row r="17">
      <c r="A17" t="inlineStr">
        <is>
          <t>Reference only - SPEC.md 11 Cost Q&amp;A pre-recompute estimate was Rs 25-40/run, sized for 12 site analyses; this sheet uses the Priya-corrected cap of 5.</t>
        </is>
      </c>
    </row>
    <row r="19">
      <c r="A19" s="17" t="inlineStr">
        <is>
          <t>2. Outreach email - recomputed unit cost</t>
        </is>
      </c>
    </row>
    <row r="20">
      <c r="A20" t="inlineStr">
        <is>
          <t>Mailgun cost per message, $ (Foundation plan amortised)</t>
        </is>
      </c>
      <c r="B20" s="14">
        <f>Assumptions!B111/Assumptions!B112</f>
        <v/>
      </c>
    </row>
    <row r="21">
      <c r="A21" t="inlineStr">
        <is>
          <t>Pitch draft cost, $ (1 Sonnet call)</t>
        </is>
      </c>
      <c r="B21" s="14">
        <f>Assumptions!B113*UnitCosts!B5+Assumptions!B114*UnitCosts!C5</f>
        <v/>
      </c>
    </row>
    <row r="22">
      <c r="A22" t="inlineStr">
        <is>
          <t>Follow-up draft cost, $ (1 Haiku call)</t>
        </is>
      </c>
      <c r="B22" s="14">
        <f>Assumptions!B115*UnitCosts!B6+Assumptions!B116*UnitCosts!C6</f>
        <v/>
      </c>
    </row>
    <row r="23">
      <c r="A23" t="inlineStr">
        <is>
          <t>One pitch + 2 follow-ups: draft cost, $</t>
        </is>
      </c>
      <c r="B23" s="14">
        <f>B21+Assumptions!B117*B22</f>
        <v/>
      </c>
    </row>
    <row r="24">
      <c r="A24" t="inlineStr">
        <is>
          <t>One pitch + 2 follow-ups: Mailgun send cost, $ (3 messages)</t>
        </is>
      </c>
      <c r="B24" s="14">
        <f>(1+Assumptions!B117)*B20</f>
        <v/>
      </c>
    </row>
    <row r="25">
      <c r="A25" s="17" t="inlineStr">
        <is>
          <t>One pitch + 2 follow-ups: total, $ / INR</t>
        </is>
      </c>
      <c r="B25" s="15">
        <f>B23+B24</f>
        <v/>
      </c>
      <c r="C25" s="23">
        <f>B25*Assumptions!$B$4</f>
        <v/>
      </c>
    </row>
    <row r="26">
      <c r="A26" t="inlineStr">
        <is>
          <t>If the pitch gets a reply that becomes a brief, add one Haiku brief extraction (INR)</t>
        </is>
      </c>
      <c r="B26" s="14">
        <f>UnitCosts!B22</f>
        <v/>
      </c>
      <c r="C26" s="24">
        <f>UnitCosts!B23</f>
        <v/>
      </c>
    </row>
    <row r="28">
      <c r="A28" s="17" t="inlineStr">
        <is>
          <t>3. "100 outreach emails" - two readings of the plan text</t>
        </is>
      </c>
    </row>
    <row r="29">
      <c r="A29" t="inlineStr">
        <is>
          <t>Reading A: 100 pitches + 200 follow-ups (100 is the pitch count, follow-ups extra)</t>
        </is>
      </c>
      <c r="B29" t="inlineStr">
        <is>
          <t>Pitches</t>
        </is>
      </c>
      <c r="C29" t="inlineStr">
        <is>
          <t>Follow-ups</t>
        </is>
      </c>
      <c r="D29" t="inlineStr">
        <is>
          <t>Sends</t>
        </is>
      </c>
      <c r="E29" t="inlineStr">
        <is>
          <t>Cost, INR</t>
        </is>
      </c>
    </row>
    <row r="30">
      <c r="A30" t="inlineStr"/>
      <c r="B30" t="n">
        <v>100</v>
      </c>
      <c r="C30" t="n">
        <v>200</v>
      </c>
      <c r="D30">
        <f>B30+C30</f>
        <v/>
      </c>
      <c r="E30" s="24">
        <f>(B30*B21+C30*B22+D30*B20)*Assumptions!$B$4</f>
        <v/>
      </c>
    </row>
    <row r="31">
      <c r="A31" t="inlineStr">
        <is>
          <t>Reading B: 100 total sends incl. follow-ups (~34 pitches + 66 follow-ups at 2/pitch)</t>
        </is>
      </c>
      <c r="B31" t="n">
        <v>34</v>
      </c>
      <c r="C31" t="n">
        <v>66</v>
      </c>
      <c r="D31">
        <f>B31+C31</f>
        <v/>
      </c>
      <c r="E31" s="24">
        <f>(B31*B21+C31*B22+D31*B20)*Assumptions!$B$4</f>
        <v/>
      </c>
    </row>
    <row r="32">
      <c r="A32" t="inlineStr">
        <is>
          <t>Plan text says "100 outreach emails with follow-ups per month" - the 100 reads as the total count including follow-ups (Reading B), not 100 pitches plus follow-ups on top (Reading A). Reading A costs about 3x Reading B; this ambiguity is commercially material and should be fixed in the plan copy.</t>
        </is>
      </c>
    </row>
    <row r="34">
      <c r="A34" s="17" t="inlineStr">
        <is>
          <t>4. Persona cost and margin under Rs 999/month</t>
        </is>
      </c>
    </row>
    <row r="35">
      <c r="A35" s="17" t="inlineStr">
        <is>
          <t>Persona</t>
        </is>
      </c>
      <c r="B35" s="17" t="inlineStr">
        <is>
          <t>Turn cost INR</t>
        </is>
      </c>
      <c r="C35" s="17" t="inlineStr">
        <is>
          <t>Voice cost INR</t>
        </is>
      </c>
      <c r="D35" s="17" t="inlineStr">
        <is>
          <t>Brief-extract INR</t>
        </is>
      </c>
      <c r="E35" s="17" t="inlineStr">
        <is>
          <t>Search cost INR</t>
        </is>
      </c>
      <c r="F35" s="17" t="inlineStr">
        <is>
          <t>Email cost INR</t>
        </is>
      </c>
      <c r="G35" s="17" t="inlineStr">
        <is>
          <t>Total cost INR</t>
        </is>
      </c>
      <c r="H35" s="17" t="inlineStr">
        <is>
          <t>Net rev INR (GST-incl.)</t>
        </is>
      </c>
      <c r="I35" s="17" t="inlineStr">
        <is>
          <t>Margin (incl.)</t>
        </is>
      </c>
      <c r="J35" s="17" t="inlineStr">
        <is>
          <t>Net rev INR (GST-excl.)</t>
        </is>
      </c>
      <c r="K35" s="17" t="inlineStr">
        <is>
          <t>Margin (excl.)</t>
        </is>
      </c>
      <c r="L35" s="17" t="inlineStr">
        <is>
          <t>Net rev + Rs750 deal (incl.)</t>
        </is>
      </c>
      <c r="M35" s="17" t="inlineStr">
        <is>
          <t>Margin +deal (incl.)</t>
        </is>
      </c>
    </row>
    <row r="36">
      <c r="A36">
        <f>Assumptions!A127</f>
        <v/>
      </c>
      <c r="B36" s="24">
        <f>Assumptions!B127*UnitCosts!$B$19</f>
        <v/>
      </c>
      <c r="C36" s="24">
        <f>Assumptions!C127*UnitCosts!$B$29</f>
        <v/>
      </c>
      <c r="D36" s="24">
        <f>Assumptions!D127*UnitCosts!$B$23</f>
        <v/>
      </c>
      <c r="E36" s="24">
        <f>Assumptions!E127*$B$16</f>
        <v/>
      </c>
      <c r="F36" s="24">
        <f>(Assumptions!F127*$B$21+Assumptions!G127*$B$22+(Assumptions!F127+Assumptions!G127)*$B$20)*Assumptions!$B$4</f>
        <v/>
      </c>
      <c r="G36" s="23">
        <f>B36+C36+D36+E36+F36</f>
        <v/>
      </c>
      <c r="H36" s="24">
        <f>Assumptions!$B$120/(1+Assumptions!$B$121)</f>
        <v/>
      </c>
      <c r="I36" s="9">
        <f>(H36-G36)/H36</f>
        <v/>
      </c>
      <c r="J36" s="24">
        <f>Assumptions!$B$120</f>
        <v/>
      </c>
      <c r="K36" s="9">
        <f>(J36-G36)/J36</f>
        <v/>
      </c>
      <c r="L36" s="24">
        <f>H36+Assumptions!$B$123</f>
        <v/>
      </c>
      <c r="M36" s="9">
        <f>(L36-G36)/L36</f>
        <v/>
      </c>
    </row>
    <row r="37">
      <c r="A37">
        <f>Assumptions!A128</f>
        <v/>
      </c>
      <c r="B37" s="24">
        <f>Assumptions!B128*UnitCosts!$B$19</f>
        <v/>
      </c>
      <c r="C37" s="24">
        <f>Assumptions!C128*UnitCosts!$B$29</f>
        <v/>
      </c>
      <c r="D37" s="24">
        <f>Assumptions!D128*UnitCosts!$B$23</f>
        <v/>
      </c>
      <c r="E37" s="24">
        <f>Assumptions!E128*$B$16</f>
        <v/>
      </c>
      <c r="F37" s="24">
        <f>(Assumptions!F128*$B$21+Assumptions!G128*$B$22+(Assumptions!F128+Assumptions!G128)*$B$20)*Assumptions!$B$4</f>
        <v/>
      </c>
      <c r="G37" s="23">
        <f>B37+C37+D37+E37+F37</f>
        <v/>
      </c>
      <c r="H37" s="24">
        <f>Assumptions!$B$120/(1+Assumptions!$B$121)</f>
        <v/>
      </c>
      <c r="I37" s="9">
        <f>(H37-G37)/H37</f>
        <v/>
      </c>
      <c r="J37" s="24">
        <f>Assumptions!$B$120</f>
        <v/>
      </c>
      <c r="K37" s="9">
        <f>(J37-G37)/J37</f>
        <v/>
      </c>
      <c r="L37" s="24">
        <f>H37+Assumptions!$B$123</f>
        <v/>
      </c>
      <c r="M37" s="9">
        <f>(L37-G37)/L37</f>
        <v/>
      </c>
    </row>
    <row r="38">
      <c r="A38">
        <f>Assumptions!A129</f>
        <v/>
      </c>
      <c r="B38" s="24">
        <f>Assumptions!B129*UnitCosts!$B$19</f>
        <v/>
      </c>
      <c r="C38" s="24">
        <f>Assumptions!C129*UnitCosts!$B$29</f>
        <v/>
      </c>
      <c r="D38" s="24">
        <f>Assumptions!D129*UnitCosts!$B$23</f>
        <v/>
      </c>
      <c r="E38" s="24">
        <f>Assumptions!E129*$B$16</f>
        <v/>
      </c>
      <c r="F38" s="24">
        <f>(Assumptions!F129*$B$21+Assumptions!G129*$B$22+(Assumptions!F129+Assumptions!G129)*$B$20)*Assumptions!$B$4</f>
        <v/>
      </c>
      <c r="G38" s="23">
        <f>B38+C38+D38+E38+F38</f>
        <v/>
      </c>
      <c r="H38" s="24">
        <f>Assumptions!$B$120/(1+Assumptions!$B$121)</f>
        <v/>
      </c>
      <c r="I38" s="9">
        <f>(H38-G38)/H38</f>
        <v/>
      </c>
      <c r="J38" s="24">
        <f>Assumptions!$B$120</f>
        <v/>
      </c>
      <c r="K38" s="9">
        <f>(J38-G38)/J38</f>
        <v/>
      </c>
      <c r="L38" s="24">
        <f>H38+Assumptions!$B$123</f>
        <v/>
      </c>
      <c r="M38" s="9">
        <f>(L38-G38)/L38</f>
        <v/>
      </c>
    </row>
    <row r="39">
      <c r="A39">
        <f>Assumptions!A130</f>
        <v/>
      </c>
      <c r="B39" s="24">
        <f>Assumptions!B130*UnitCosts!$B$19</f>
        <v/>
      </c>
      <c r="C39" s="24">
        <f>Assumptions!C130*UnitCosts!$B$29</f>
        <v/>
      </c>
      <c r="D39" s="24">
        <f>Assumptions!D130*UnitCosts!$B$23</f>
        <v/>
      </c>
      <c r="E39" s="24">
        <f>Assumptions!E130*$B$16</f>
        <v/>
      </c>
      <c r="F39" s="24">
        <f>(Assumptions!F130*$B$21+Assumptions!G130*$B$22+(Assumptions!F130+Assumptions!G130)*$B$20)*Assumptions!$B$4</f>
        <v/>
      </c>
      <c r="G39" s="23">
        <f>B39+C39+D39+E39+F39</f>
        <v/>
      </c>
      <c r="H39" s="24">
        <f>Assumptions!$B$120/(1+Assumptions!$B$121)</f>
        <v/>
      </c>
      <c r="I39" s="9">
        <f>(H39-G39)/H39</f>
        <v/>
      </c>
      <c r="J39" s="24">
        <f>Assumptions!$B$120</f>
        <v/>
      </c>
      <c r="K39" s="9">
        <f>(J39-G39)/J39</f>
        <v/>
      </c>
      <c r="L39" s="24">
        <f>H39+Assumptions!$B$123</f>
        <v/>
      </c>
      <c r="M39" s="9">
        <f>(L39-G39)/L39</f>
        <v/>
      </c>
    </row>
    <row r="41">
      <c r="A41" t="inlineStr">
        <is>
          <t>Credit-pool check: Heavy needs 100 turn-credits + 40 voice-credits (20 voice x 2cr) = 140 credits vs 100 included - Heavy structurally exceeds the credit pool before counting searches/emails (which sit outside the pool by plan design). Max abuse is defined here as pure turns (100 credits, exactly the pool) so it does not breach the pool by itself.</t>
        </is>
      </c>
    </row>
    <row r="43">
      <c r="A43" s="17" t="inlineStr">
        <is>
          <t>5. Break-even at Typical usage - searches/emails before margin &lt; 60%</t>
        </is>
      </c>
    </row>
    <row r="44">
      <c r="A44" t="inlineStr">
        <is>
          <t>Typical fixed cost (turns+briefs), INR</t>
        </is>
      </c>
      <c r="B44" s="24">
        <f>B37+D37</f>
        <v/>
      </c>
    </row>
    <row r="45">
      <c r="A45" t="inlineStr">
        <is>
          <t>Net revenue basis (GST-inclusive), INR</t>
        </is>
      </c>
      <c r="B45" s="24">
        <f>H37</f>
        <v/>
      </c>
    </row>
    <row r="46">
      <c r="A46" t="inlineStr">
        <is>
          <t>Cost budget at 60% margin (40% of revenue), INR</t>
        </is>
      </c>
      <c r="B46" s="24">
        <f>0.4*B45</f>
        <v/>
      </c>
    </row>
    <row r="47">
      <c r="A47" t="inlineStr">
        <is>
          <t>Variable (search+email) budget remaining, INR</t>
        </is>
      </c>
      <c r="B47" s="24">
        <f>B46-B44</f>
        <v/>
      </c>
    </row>
    <row r="48">
      <c r="A48" t="inlineStr">
        <is>
          <t>Max discovery searches/month if emails held at 100 (Reading B cost)</t>
        </is>
      </c>
      <c r="B48" s="25">
        <f>(B47-E31)/$B$16</f>
        <v/>
      </c>
    </row>
    <row r="49">
      <c r="A49" t="inlineStr">
        <is>
          <t>Max "100-email" blocks/month if searches held at 5</t>
        </is>
      </c>
      <c r="B49" s="25">
        <f>(B47-5*$B$16)/E31</f>
        <v/>
      </c>
    </row>
    <row r="50">
      <c r="A50" t="inlineStr">
        <is>
          <t>Reading: at Typical load, cost headroom to 60% margin is wide on searches/emails - roughly 20+ searches or about 4x the email allowance - because Perplexity/Mailgun/Haiku unit costs are all sub-rupee to a few rupees each. The real margin risk is turn+voice credit intensity (Heavy/Max abuse rows above), not search or email volume.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2026-09-04T09:37:51Z</dcterms:created>
  <dcterms:modified xmlns:dcterms="http://purl.org/dc/terms/" xmlns:xsi="http://www.w3.org/2001/XMLSchema-instance" xsi:type="dcterms:W3CDTF">2026-09-04T12:07:25Z</dcterms:modified>
</cp:coreProperties>
</file>